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da\Desktop\cba2\data\raw\bond_static\"/>
    </mc:Choice>
  </mc:AlternateContent>
  <bookViews>
    <workbookView xWindow="0" yWindow="0" windowWidth="23040" windowHeight="8496" activeTab="1"/>
  </bookViews>
  <sheets>
    <sheet name="Bonds" sheetId="2" r:id="rId1"/>
    <sheet name="Sheet1" sheetId="4" r:id="rId2"/>
    <sheet name="Context" sheetId="3" r:id="rId3"/>
  </sheets>
  <calcPr calcId="162913"/>
</workbook>
</file>

<file path=xl/calcChain.xml><?xml version="1.0" encoding="utf-8"?>
<calcChain xmlns="http://schemas.openxmlformats.org/spreadsheetml/2006/main">
  <c r="T3" i="2" l="1"/>
  <c r="Q20" i="2"/>
  <c r="E15" i="2"/>
  <c r="R11" i="2"/>
  <c r="D20" i="2"/>
  <c r="T9" i="2"/>
  <c r="G12" i="2"/>
  <c r="P11" i="2"/>
  <c r="O11" i="2"/>
  <c r="U12" i="2"/>
  <c r="F20" i="2"/>
  <c r="B11" i="2"/>
  <c r="P20" i="2"/>
  <c r="W11" i="2"/>
  <c r="O8" i="2"/>
  <c r="M5" i="2"/>
  <c r="P18" i="2"/>
  <c r="H15" i="2"/>
  <c r="T5" i="2"/>
  <c r="W18" i="2"/>
  <c r="O18" i="2"/>
  <c r="W8" i="2"/>
  <c r="F17" i="2"/>
  <c r="R9" i="2"/>
  <c r="B12" i="2"/>
  <c r="R13" i="2"/>
  <c r="C19" i="2"/>
  <c r="C13" i="2"/>
  <c r="G21" i="2"/>
  <c r="R16" i="2"/>
  <c r="R22" i="2"/>
  <c r="P4" i="2"/>
  <c r="D19" i="2"/>
  <c r="M13" i="2"/>
  <c r="U19" i="2"/>
  <c r="O19" i="2"/>
  <c r="B22" i="2"/>
  <c r="D21" i="2"/>
  <c r="B21" i="2"/>
  <c r="H21" i="2"/>
  <c r="G23" i="2"/>
  <c r="V22" i="2"/>
  <c r="N16" i="2"/>
  <c r="N14" i="2"/>
  <c r="Q21" i="2"/>
  <c r="M6" i="2"/>
  <c r="V14" i="2"/>
  <c r="K13" i="2"/>
  <c r="N2" i="2"/>
  <c r="M22" i="2"/>
  <c r="V7" i="2"/>
  <c r="U10" i="2"/>
  <c r="P10" i="2"/>
  <c r="B10" i="2"/>
  <c r="T7" i="2"/>
  <c r="R15" i="2"/>
  <c r="J3" i="2"/>
  <c r="H9" i="2"/>
  <c r="Q9" i="2"/>
  <c r="N13" i="2"/>
  <c r="M16" i="2"/>
  <c r="E2" i="2"/>
  <c r="J10" i="2"/>
  <c r="B18" i="2"/>
  <c r="O12" i="2"/>
  <c r="G3" i="2"/>
  <c r="C8" i="2"/>
  <c r="N5" i="2"/>
  <c r="C20" i="2"/>
  <c r="Q12" i="2"/>
  <c r="V3" i="2"/>
  <c r="S9" i="2"/>
  <c r="H8" i="2"/>
  <c r="S11" i="2"/>
  <c r="M15" i="2"/>
  <c r="P15" i="2"/>
  <c r="F8" i="2"/>
  <c r="E12" i="2"/>
  <c r="M20" i="2"/>
  <c r="S17" i="2"/>
  <c r="M8" i="2"/>
  <c r="Q11" i="2"/>
  <c r="F3" i="2"/>
  <c r="G15" i="2"/>
  <c r="M18" i="2"/>
  <c r="R12" i="2"/>
  <c r="K9" i="2"/>
  <c r="F9" i="2"/>
  <c r="P21" i="2"/>
  <c r="P22" i="2"/>
  <c r="Q19" i="2"/>
  <c r="U6" i="2"/>
  <c r="U16" i="2"/>
  <c r="T4" i="2"/>
  <c r="D23" i="2"/>
  <c r="O4" i="2"/>
  <c r="N6" i="2"/>
  <c r="B2" i="2"/>
  <c r="B4" i="2"/>
  <c r="N4" i="2"/>
  <c r="H2" i="2"/>
  <c r="U2" i="2"/>
  <c r="F2" i="2"/>
  <c r="F4" i="2"/>
  <c r="M14" i="2"/>
  <c r="V6" i="2"/>
  <c r="N19" i="2"/>
  <c r="N21" i="2"/>
  <c r="S21" i="2"/>
  <c r="M19" i="2"/>
  <c r="B16" i="2"/>
  <c r="R21" i="2"/>
  <c r="W14" i="2"/>
  <c r="C10" i="2"/>
  <c r="M10" i="2"/>
  <c r="N7" i="2"/>
  <c r="W10" i="2"/>
  <c r="C7" i="2"/>
  <c r="N9" i="2"/>
  <c r="Q15" i="2"/>
  <c r="J8" i="2"/>
  <c r="R4" i="2"/>
  <c r="R19" i="2"/>
  <c r="Q13" i="2"/>
  <c r="S22" i="2"/>
  <c r="C17" i="2"/>
  <c r="W17" i="2"/>
  <c r="D5" i="2"/>
  <c r="D9" i="2"/>
  <c r="Q5" i="2"/>
  <c r="O15" i="2"/>
  <c r="B5" i="2"/>
  <c r="R18" i="2"/>
  <c r="G5" i="2"/>
  <c r="D8" i="2"/>
  <c r="F12" i="2"/>
  <c r="R20" i="2"/>
  <c r="S20" i="2"/>
  <c r="G18" i="2"/>
  <c r="S8" i="2"/>
  <c r="K18" i="2"/>
  <c r="P8" i="2"/>
  <c r="V20" i="2"/>
  <c r="G11" i="2"/>
  <c r="J12" i="2"/>
  <c r="T8" i="2"/>
  <c r="P3" i="2"/>
  <c r="C3" i="2"/>
  <c r="F18" i="2"/>
  <c r="M11" i="2"/>
  <c r="P14" i="2"/>
  <c r="P19" i="2"/>
  <c r="K14" i="2"/>
  <c r="J2" i="2"/>
  <c r="V13" i="2"/>
  <c r="W4" i="2"/>
  <c r="H19" i="2"/>
  <c r="U22" i="2"/>
  <c r="Q14" i="2"/>
  <c r="J23" i="2"/>
  <c r="G14" i="2"/>
  <c r="P2" i="2"/>
  <c r="G13" i="2"/>
  <c r="J16" i="2"/>
  <c r="Q4" i="2"/>
  <c r="U4" i="2"/>
  <c r="B23" i="2"/>
  <c r="N22" i="2"/>
  <c r="S13" i="2"/>
  <c r="M23" i="2"/>
  <c r="U21" i="2"/>
  <c r="K21" i="2"/>
  <c r="F6" i="2"/>
  <c r="S4" i="2"/>
  <c r="H23" i="2"/>
  <c r="S10" i="2"/>
  <c r="M7" i="2"/>
  <c r="G10" i="2"/>
  <c r="D10" i="2"/>
  <c r="D7" i="2"/>
  <c r="Q17" i="2"/>
  <c r="Q3" i="2"/>
  <c r="K11" i="2"/>
  <c r="O23" i="2"/>
  <c r="R14" i="2"/>
  <c r="B14" i="2"/>
  <c r="K6" i="2"/>
  <c r="R7" i="2"/>
  <c r="W9" i="2"/>
  <c r="S18" i="2"/>
  <c r="V8" i="2"/>
  <c r="B15" i="2"/>
  <c r="N15" i="2"/>
  <c r="J15" i="2"/>
  <c r="T17" i="2"/>
  <c r="O9" i="2"/>
  <c r="V9" i="2"/>
  <c r="P5" i="2"/>
  <c r="U9" i="2"/>
  <c r="R8" i="2"/>
  <c r="U18" i="2"/>
  <c r="W5" i="2"/>
  <c r="H11" i="2"/>
  <c r="C9" i="2"/>
  <c r="K17" i="2"/>
  <c r="U17" i="2"/>
  <c r="S5" i="2"/>
  <c r="B3" i="2"/>
  <c r="G9" i="2"/>
  <c r="V11" i="2"/>
  <c r="K3" i="2"/>
  <c r="J20" i="2"/>
  <c r="U11" i="2"/>
  <c r="P16" i="2"/>
  <c r="T6" i="2"/>
  <c r="K23" i="2"/>
  <c r="W2" i="2"/>
  <c r="V2" i="2"/>
  <c r="W13" i="2"/>
  <c r="E14" i="2"/>
  <c r="R23" i="2"/>
  <c r="D2" i="2"/>
  <c r="Q22" i="2"/>
  <c r="S19" i="2"/>
  <c r="V21" i="2"/>
  <c r="K16" i="2"/>
  <c r="K22" i="2"/>
  <c r="O22" i="2"/>
  <c r="E19" i="2"/>
  <c r="S2" i="2"/>
  <c r="V16" i="2"/>
  <c r="S14" i="2"/>
  <c r="W6" i="2"/>
  <c r="G2" i="2"/>
  <c r="O14" i="2"/>
  <c r="F22" i="2"/>
  <c r="P6" i="2"/>
  <c r="C6" i="2"/>
  <c r="U7" i="2"/>
  <c r="H10" i="2"/>
  <c r="J7" i="2"/>
  <c r="W7" i="2"/>
  <c r="Q7" i="2"/>
  <c r="J5" i="2"/>
  <c r="U3" i="2"/>
  <c r="H5" i="2"/>
  <c r="N17" i="2"/>
  <c r="T20" i="2"/>
  <c r="J6" i="2"/>
  <c r="Q6" i="2"/>
  <c r="R2" i="2"/>
  <c r="K10" i="2"/>
  <c r="E9" i="2"/>
  <c r="E20" i="2"/>
  <c r="O3" i="2"/>
  <c r="P12" i="2"/>
  <c r="E5" i="2"/>
  <c r="N18" i="2"/>
  <c r="F15" i="2"/>
  <c r="E3" i="2"/>
  <c r="R17" i="2"/>
  <c r="V17" i="2"/>
  <c r="P9" i="2"/>
  <c r="E11" i="2"/>
  <c r="V15" i="2"/>
  <c r="N20" i="2"/>
  <c r="T15" i="2"/>
  <c r="C5" i="2"/>
  <c r="W12" i="2"/>
  <c r="D15" i="2"/>
  <c r="V5" i="2"/>
  <c r="E17" i="2"/>
  <c r="K15" i="2"/>
  <c r="N12" i="2"/>
  <c r="H3" i="2"/>
  <c r="D18" i="2"/>
  <c r="O17" i="2"/>
  <c r="F21" i="2"/>
  <c r="M2" i="2"/>
  <c r="G19" i="2"/>
  <c r="J19" i="2"/>
  <c r="G4" i="2"/>
  <c r="N23" i="2"/>
  <c r="B13" i="2"/>
  <c r="C4" i="2"/>
  <c r="D6" i="2"/>
  <c r="T2" i="2"/>
  <c r="F13" i="2"/>
  <c r="S23" i="2"/>
  <c r="U14" i="2"/>
  <c r="T21" i="2"/>
  <c r="E16" i="2"/>
  <c r="M4" i="2"/>
  <c r="D16" i="2"/>
  <c r="U23" i="2"/>
  <c r="W19" i="2"/>
  <c r="E22" i="2"/>
  <c r="C2" i="2"/>
  <c r="G22" i="2"/>
  <c r="J21" i="2"/>
  <c r="O13" i="2"/>
  <c r="D14" i="2"/>
  <c r="O10" i="2"/>
  <c r="G7" i="2"/>
  <c r="E10" i="2"/>
  <c r="P7" i="2"/>
  <c r="K7" i="2"/>
  <c r="Q8" i="2"/>
  <c r="C15" i="2"/>
  <c r="J9" i="2"/>
  <c r="M3" i="2"/>
  <c r="W22" i="2"/>
  <c r="G16" i="2"/>
  <c r="E21" i="2"/>
  <c r="T19" i="2"/>
  <c r="V10" i="2"/>
  <c r="D3" i="2"/>
  <c r="E8" i="2"/>
  <c r="H20" i="2"/>
  <c r="N11" i="2"/>
  <c r="T18" i="2"/>
  <c r="K12" i="2"/>
  <c r="B9" i="2"/>
  <c r="J17" i="2"/>
  <c r="N3" i="2"/>
  <c r="M9" i="2"/>
  <c r="E18" i="2"/>
  <c r="U20" i="2"/>
  <c r="R3" i="2"/>
  <c r="J18" i="2"/>
  <c r="K20" i="2"/>
  <c r="K5" i="2"/>
  <c r="C18" i="2"/>
  <c r="M12" i="2"/>
  <c r="T11" i="2"/>
  <c r="S3" i="2"/>
  <c r="O5" i="2"/>
  <c r="Q18" i="2"/>
  <c r="D17" i="2"/>
  <c r="F5" i="2"/>
  <c r="O20" i="2"/>
  <c r="Q16" i="2"/>
  <c r="D13" i="2"/>
  <c r="T13" i="2"/>
  <c r="D4" i="2"/>
  <c r="E23" i="2"/>
  <c r="G6" i="2"/>
  <c r="Q23" i="2"/>
  <c r="T16" i="2"/>
  <c r="K19" i="2"/>
  <c r="H13" i="2"/>
  <c r="V4" i="2"/>
  <c r="D22" i="2"/>
  <c r="J13" i="2"/>
  <c r="O2" i="2"/>
  <c r="B19" i="2"/>
  <c r="S6" i="2"/>
  <c r="O21" i="2"/>
  <c r="T22" i="2"/>
  <c r="J22" i="2"/>
  <c r="E13" i="2"/>
  <c r="C22" i="2"/>
  <c r="J14" i="2"/>
  <c r="S16" i="2"/>
  <c r="P13" i="2"/>
  <c r="V19" i="2"/>
  <c r="H7" i="2"/>
  <c r="T10" i="2"/>
  <c r="F7" i="2"/>
  <c r="E7" i="2"/>
  <c r="S7" i="2"/>
  <c r="H17" i="2"/>
  <c r="B8" i="2"/>
  <c r="G8" i="2"/>
  <c r="F19" i="2"/>
  <c r="T23" i="2"/>
  <c r="O6" i="2"/>
  <c r="C14" i="2"/>
  <c r="C12" i="2"/>
  <c r="V12" i="2"/>
  <c r="D11" i="2"/>
  <c r="C11" i="2"/>
  <c r="T12" i="2"/>
  <c r="U5" i="2"/>
  <c r="S12" i="2"/>
  <c r="V18" i="2"/>
  <c r="U15" i="2"/>
  <c r="H18" i="2"/>
  <c r="W15" i="2"/>
  <c r="F11" i="2"/>
  <c r="W20" i="2"/>
  <c r="N8" i="2"/>
  <c r="R5" i="2"/>
  <c r="B17" i="2"/>
  <c r="J11" i="2"/>
  <c r="P17" i="2"/>
  <c r="H12" i="2"/>
  <c r="D12" i="2"/>
  <c r="M17" i="2"/>
  <c r="U8" i="2"/>
  <c r="B20" i="2"/>
  <c r="S15" i="2"/>
  <c r="K8" i="2"/>
  <c r="H16" i="2"/>
  <c r="J4" i="2"/>
  <c r="U13" i="2"/>
  <c r="M21" i="2"/>
  <c r="K2" i="2"/>
  <c r="E6" i="2"/>
  <c r="H22" i="2"/>
  <c r="P23" i="2"/>
  <c r="W23" i="2"/>
  <c r="F23" i="2"/>
  <c r="C21" i="2"/>
  <c r="V23" i="2"/>
  <c r="H4" i="2"/>
  <c r="O16" i="2"/>
  <c r="C16" i="2"/>
  <c r="F14" i="2"/>
  <c r="Q2" i="2"/>
  <c r="H6" i="2"/>
  <c r="H14" i="2"/>
  <c r="F16" i="2"/>
  <c r="W21" i="2"/>
  <c r="K4" i="2"/>
  <c r="B6" i="2"/>
  <c r="R6" i="2"/>
  <c r="C23" i="2"/>
  <c r="Q10" i="2"/>
  <c r="R10" i="2"/>
  <c r="O7" i="2"/>
  <c r="N10" i="2"/>
  <c r="B7" i="2"/>
  <c r="G20" i="2"/>
  <c r="G17" i="2"/>
  <c r="W3" i="2"/>
  <c r="E4" i="2"/>
  <c r="T14" i="2"/>
  <c r="W16" i="2"/>
  <c r="F10" i="2"/>
</calcChain>
</file>

<file path=xl/sharedStrings.xml><?xml version="1.0" encoding="utf-8"?>
<sst xmlns="http://schemas.openxmlformats.org/spreadsheetml/2006/main" count="397" uniqueCount="202">
  <si>
    <t>Issuer Name</t>
  </si>
  <si>
    <t>Ticker</t>
  </si>
  <si>
    <t>Day Count</t>
  </si>
  <si>
    <t>First Cpn Dt</t>
  </si>
  <si>
    <t>Interest Accrued</t>
  </si>
  <si>
    <t>Cpn Freq Des</t>
  </si>
  <si>
    <t>CUSIP</t>
  </si>
  <si>
    <t>ISIN</t>
  </si>
  <si>
    <t>Par Amt</t>
  </si>
  <si>
    <t>Volume</t>
  </si>
  <si>
    <t>Cmn Stk Tkr</t>
  </si>
  <si>
    <t>Amt Out</t>
  </si>
  <si>
    <t>CV Model Delta S %</t>
  </si>
  <si>
    <t>CV Equity Option Value</t>
  </si>
  <si>
    <t>Conversion Ratio</t>
  </si>
  <si>
    <t>CV Conversion Price</t>
  </si>
  <si>
    <t>Init Conv Prem</t>
  </si>
  <si>
    <t>Issue Date</t>
  </si>
  <si>
    <t>Cpn</t>
  </si>
  <si>
    <t>Maturity</t>
  </si>
  <si>
    <t>BBG Composite</t>
  </si>
  <si>
    <t>Mty Type</t>
  </si>
  <si>
    <t>Currency</t>
  </si>
  <si>
    <t>Ford Motor Co</t>
  </si>
  <si>
    <t>Kite Realty Group LP</t>
  </si>
  <si>
    <t>PPL Capital Funding Inc</t>
  </si>
  <si>
    <t>Exelon Corp</t>
  </si>
  <si>
    <t>Boston Properties LP</t>
  </si>
  <si>
    <t>Euronet Worldwide Inc</t>
  </si>
  <si>
    <t>WEC Energy Group Inc</t>
  </si>
  <si>
    <t>Digital Realty Trust LP</t>
  </si>
  <si>
    <t>Capital Southwest Corp</t>
  </si>
  <si>
    <t>Rexford Industrial Realty LP</t>
  </si>
  <si>
    <t>Meritage Homes Corp</t>
  </si>
  <si>
    <t>NextEra Energy Capital Holdings Inc</t>
  </si>
  <si>
    <t>Federal Realty OP LP</t>
  </si>
  <si>
    <t>Evergy Inc</t>
  </si>
  <si>
    <t>HAT Holdings I LLC / HAT Holdings II LLC</t>
  </si>
  <si>
    <t>COPT Defense Properties LP</t>
  </si>
  <si>
    <t>Duke Energy Corp</t>
  </si>
  <si>
    <t>Ventas Realty LP</t>
  </si>
  <si>
    <t>Summary</t>
  </si>
  <si>
    <t>SRCH Results</t>
  </si>
  <si>
    <t>Number of securities: 22</t>
  </si>
  <si>
    <t>Currency: USD</t>
  </si>
  <si>
    <t>Created by  JINAY JAIN ( NEW YORK UNIVERSITY ABU DHABI )  on  03/05/2026 13:25:48 GMT-0500 (EST)</t>
  </si>
  <si>
    <t>SRCH Criteria</t>
  </si>
  <si>
    <t>Asset Classes: Corporates,Governments (Consolidate Duplicate Bonds, Include Preliminary Securities)</t>
  </si>
  <si>
    <t>Sources: All Securities</t>
  </si>
  <si>
    <t xml:space="preserve">Security: </t>
  </si>
  <si>
    <t xml:space="preserve"> AND </t>
  </si>
  <si>
    <t>Security Status</t>
  </si>
  <si>
    <t>Include</t>
  </si>
  <si>
    <t>Bonds : Active</t>
  </si>
  <si>
    <t>Is Convertible</t>
  </si>
  <si>
    <t>--</t>
  </si>
  <si>
    <t>True</t>
  </si>
  <si>
    <t>United States Dollar</t>
  </si>
  <si>
    <t>Country/Region of Risk</t>
  </si>
  <si>
    <t>United States of America</t>
  </si>
  <si>
    <t>Bbg Composite</t>
  </si>
  <si>
    <t>between</t>
  </si>
  <si>
    <t>BBB+ and BB</t>
  </si>
  <si>
    <t>Greater than or equal to</t>
  </si>
  <si>
    <t>01/01/2018</t>
  </si>
  <si>
    <t>Less than or equal to</t>
  </si>
  <si>
    <t>12/01/2030</t>
  </si>
  <si>
    <t>F</t>
  </si>
  <si>
    <t>30/360</t>
  </si>
  <si>
    <t>#N/A Field Not Applicable</t>
  </si>
  <si>
    <t>345370CZ1</t>
  </si>
  <si>
    <t>US345370CZ16</t>
  </si>
  <si>
    <t>3/19/2021</t>
  </si>
  <si>
    <t>3/15/2026</t>
  </si>
  <si>
    <t>BB+</t>
  </si>
  <si>
    <t>CONVERTIBLE</t>
  </si>
  <si>
    <t>USD</t>
  </si>
  <si>
    <t>KRG</t>
  </si>
  <si>
    <t>10/1/2021</t>
  </si>
  <si>
    <t>S/A</t>
  </si>
  <si>
    <t>49803XAB9</t>
  </si>
  <si>
    <t>US49803XAB91</t>
  </si>
  <si>
    <t>3/22/2021</t>
  </si>
  <si>
    <t>4/1/2027</t>
  </si>
  <si>
    <t>BBB</t>
  </si>
  <si>
    <t>PPL</t>
  </si>
  <si>
    <t>6/1/2026</t>
  </si>
  <si>
    <t>69352PAU7</t>
  </si>
  <si>
    <t>US69352PAU75</t>
  </si>
  <si>
    <t>11/24/2025</t>
  </si>
  <si>
    <t>12/1/2030</t>
  </si>
  <si>
    <t>BBB+</t>
  </si>
  <si>
    <t>EXC</t>
  </si>
  <si>
    <t>9/15/2026</t>
  </si>
  <si>
    <t>30161NBT7</t>
  </si>
  <si>
    <t>US30161NBT72</t>
  </si>
  <si>
    <t>12/4/2025</t>
  </si>
  <si>
    <t>3/15/2029</t>
  </si>
  <si>
    <t>BXP</t>
  </si>
  <si>
    <t>4/1/2026</t>
  </si>
  <si>
    <t>10112RBM5</t>
  </si>
  <si>
    <t>US10112RBM51</t>
  </si>
  <si>
    <t>9/29/2025</t>
  </si>
  <si>
    <t>10/1/2030</t>
  </si>
  <si>
    <t>EEFT</t>
  </si>
  <si>
    <t>298736AM1</t>
  </si>
  <si>
    <t>US298736AM13</t>
  </si>
  <si>
    <t>8/15/2025</t>
  </si>
  <si>
    <t>WEC</t>
  </si>
  <si>
    <t>12/1/2025</t>
  </si>
  <si>
    <t>92939UAS5</t>
  </si>
  <si>
    <t>US92939UAS50</t>
  </si>
  <si>
    <t>6/10/2025</t>
  </si>
  <si>
    <t>6/1/2028</t>
  </si>
  <si>
    <t>DLR</t>
  </si>
  <si>
    <t>5/15/2025</t>
  </si>
  <si>
    <t>25389JAX4</t>
  </si>
  <si>
    <t>US25389JAX46</t>
  </si>
  <si>
    <t>11/12/2024</t>
  </si>
  <si>
    <t>11/15/2029</t>
  </si>
  <si>
    <t>CSWC</t>
  </si>
  <si>
    <t>2/15/2025</t>
  </si>
  <si>
    <t>Qtrly</t>
  </si>
  <si>
    <t>140501AE7</t>
  </si>
  <si>
    <t>US140501AE77</t>
  </si>
  <si>
    <t>11/8/2024</t>
  </si>
  <si>
    <t>BBB-</t>
  </si>
  <si>
    <t>12/1/2024</t>
  </si>
  <si>
    <t>92939UAR7</t>
  </si>
  <si>
    <t>US92939UAR77</t>
  </si>
  <si>
    <t>5/28/2024</t>
  </si>
  <si>
    <t>6/1/2029</t>
  </si>
  <si>
    <t>92939UAP1</t>
  </si>
  <si>
    <t>US92939UAP12</t>
  </si>
  <si>
    <t>6/1/2027</t>
  </si>
  <si>
    <t>REXR</t>
  </si>
  <si>
    <t>9/15/2024</t>
  </si>
  <si>
    <t>76169XAD6</t>
  </si>
  <si>
    <t>US76169XAD66</t>
  </si>
  <si>
    <t>3/28/2024</t>
  </si>
  <si>
    <t>3/15/2027</t>
  </si>
  <si>
    <t>76169XAE4</t>
  </si>
  <si>
    <t>US76169XAE40</t>
  </si>
  <si>
    <t>MTH</t>
  </si>
  <si>
    <t>11/15/2024</t>
  </si>
  <si>
    <t>59001ABF8</t>
  </si>
  <si>
    <t>US59001ABF84</t>
  </si>
  <si>
    <t>5/9/2024</t>
  </si>
  <si>
    <t>5/15/2028</t>
  </si>
  <si>
    <t>NEE</t>
  </si>
  <si>
    <t>9/1/2024</t>
  </si>
  <si>
    <t>65339KCY4</t>
  </si>
  <si>
    <t>US65339KCY47</t>
  </si>
  <si>
    <t>3/1/2024</t>
  </si>
  <si>
    <t>3/1/2027</t>
  </si>
  <si>
    <t>FRT</t>
  </si>
  <si>
    <t>7/15/2024</t>
  </si>
  <si>
    <t>313747BD8</t>
  </si>
  <si>
    <t>US313747BD82</t>
  </si>
  <si>
    <t>1/11/2024</t>
  </si>
  <si>
    <t>1/15/2029</t>
  </si>
  <si>
    <t>EVRG</t>
  </si>
  <si>
    <t>6/15/2024</t>
  </si>
  <si>
    <t>30034WAD8</t>
  </si>
  <si>
    <t>US30034WAD83</t>
  </si>
  <si>
    <t>12/7/2023</t>
  </si>
  <si>
    <t>12/15/2027</t>
  </si>
  <si>
    <t>HASI</t>
  </si>
  <si>
    <t>2/15/2024</t>
  </si>
  <si>
    <t>418751AJ2</t>
  </si>
  <si>
    <t>US418751AJ20</t>
  </si>
  <si>
    <t>8/11/2023</t>
  </si>
  <si>
    <t>8/15/2028</t>
  </si>
  <si>
    <t>CDP</t>
  </si>
  <si>
    <t>3/15/2024</t>
  </si>
  <si>
    <t>22003BAQ9</t>
  </si>
  <si>
    <t>US22003BAQ95</t>
  </si>
  <si>
    <t>9/12/2023</t>
  </si>
  <si>
    <t>9/15/2028</t>
  </si>
  <si>
    <t>DUK</t>
  </si>
  <si>
    <t>10/15/2023</t>
  </si>
  <si>
    <t>26441CBY0</t>
  </si>
  <si>
    <t>US26441CBY03</t>
  </si>
  <si>
    <t>4/6/2023</t>
  </si>
  <si>
    <t>4/15/2026</t>
  </si>
  <si>
    <t>VTR</t>
  </si>
  <si>
    <t>12/1/2023</t>
  </si>
  <si>
    <t>92277GAZ0</t>
  </si>
  <si>
    <t>US92277GAZ00</t>
  </si>
  <si>
    <t>6/13/2023</t>
  </si>
  <si>
    <t>9/15/2023</t>
  </si>
  <si>
    <t>69352PAS2</t>
  </si>
  <si>
    <t>US69352PAS20</t>
  </si>
  <si>
    <t>2/24/2023</t>
  </si>
  <si>
    <t>3/15/2028</t>
  </si>
  <si>
    <t>PPL1</t>
  </si>
  <si>
    <t>PPL2</t>
  </si>
  <si>
    <t>WEC1</t>
  </si>
  <si>
    <t>WEC2</t>
  </si>
  <si>
    <t>WEC3</t>
  </si>
  <si>
    <t>REXR1</t>
  </si>
  <si>
    <t>REXR2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</si>
</sst>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0" borderId="0">
      <alignment horizontal="centerContinuous"/>
    </xf>
    <xf numFmtId="0" fontId="3" fillId="0" borderId="0" applyNumberFormat="0" applyFont="0" applyFill="0" applyBorder="0" applyProtection="0">
      <alignment wrapText="1"/>
    </xf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7">
    <xf numFmtId="0" fontId="0" fillId="0" borderId="0" xfId="0"/>
    <xf numFmtId="0" fontId="2" fillId="33" borderId="0" xfId="26" applyNumberFormat="1" applyFont="1" applyFill="1" applyBorder="1" applyAlignment="1" applyProtection="1"/>
    <xf numFmtId="0" fontId="3" fillId="0" borderId="0" xfId="28" applyFont="1" applyAlignment="1">
      <alignment wrapText="1"/>
    </xf>
    <xf numFmtId="0" fontId="1" fillId="34" borderId="0" xfId="29" applyNumberFormat="1" applyFont="1" applyFill="1" applyBorder="1" applyAlignment="1" applyProtection="1"/>
    <xf numFmtId="0" fontId="0" fillId="0" borderId="0" xfId="0"/>
    <xf numFmtId="0" fontId="1" fillId="0" borderId="0" xfId="27" applyNumberFormat="1" applyFont="1" applyFill="1" applyBorder="1" applyAlignment="1" applyProtection="1">
      <alignment horizontal="center"/>
    </xf>
    <xf numFmtId="0" fontId="2" fillId="33" borderId="0" xfId="26" applyNumberFormat="1" applyFont="1" applyFill="1" applyBorder="1" applyAlignment="1" applyProtection="1"/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blp_financial_statement_name" xfId="27"/>
    <cellStyle name="blp_multiline_cell" xfId="28"/>
    <cellStyle name="blp_row_header" xfId="29"/>
    <cellStyle name="Calculation" xfId="30" builtinId="22" customBuiltin="1"/>
    <cellStyle name="Check Cell" xfId="31" builtinId="23" customBuiltin="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te" xfId="41" builtinId="10" customBuiltin="1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workbookViewId="0">
      <selection sqref="A1:W23"/>
    </sheetView>
  </sheetViews>
  <sheetFormatPr defaultRowHeight="14.4" x14ac:dyDescent="0.3"/>
  <cols>
    <col min="1" max="1" width="36.109375" bestFit="1" customWidth="1"/>
    <col min="2" max="2" width="6.33203125" bestFit="1" customWidth="1"/>
    <col min="3" max="3" width="10" bestFit="1" customWidth="1"/>
    <col min="4" max="4" width="24.44140625" bestFit="1" customWidth="1"/>
    <col min="5" max="5" width="15.6640625" bestFit="1" customWidth="1"/>
    <col min="6" max="6" width="24.44140625" bestFit="1" customWidth="1"/>
    <col min="7" max="7" width="11.44140625" bestFit="1" customWidth="1"/>
    <col min="8" max="8" width="14.88671875" bestFit="1" customWidth="1"/>
    <col min="9" max="9" width="8" bestFit="1" customWidth="1"/>
    <col min="10" max="10" width="24.44140625" bestFit="1" customWidth="1"/>
    <col min="11" max="11" width="11.33203125" bestFit="1" customWidth="1"/>
    <col min="12" max="12" width="11" bestFit="1" customWidth="1"/>
    <col min="13" max="13" width="18.5546875" bestFit="1" customWidth="1"/>
    <col min="14" max="14" width="22" bestFit="1" customWidth="1"/>
    <col min="15" max="15" width="16.109375" bestFit="1" customWidth="1"/>
    <col min="16" max="16" width="19" bestFit="1" customWidth="1"/>
    <col min="17" max="17" width="14.109375" bestFit="1" customWidth="1"/>
    <col min="18" max="18" width="10.6640625" bestFit="1" customWidth="1"/>
    <col min="19" max="19" width="6" bestFit="1" customWidth="1"/>
    <col min="20" max="20" width="10.6640625" bestFit="1" customWidth="1"/>
    <col min="21" max="21" width="14.88671875" bestFit="1" customWidth="1"/>
    <col min="22" max="22" width="13.109375" bestFit="1" customWidth="1"/>
    <col min="23" max="23" width="8.88671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e">
        <f ca="1">_xll.BDP("BO616288 Corp","TICKER")</f>
        <v>#NAME?</v>
      </c>
      <c r="C2" t="e">
        <f ca="1">_xll.BDP("BO616288 Corp","DAY_CNT_DES")</f>
        <v>#NAME?</v>
      </c>
      <c r="D2" t="e">
        <f ca="1">_xll.BDP("BO616288 Corp","FIRST_CPN_DT")</f>
        <v>#NAME?</v>
      </c>
      <c r="E2" t="e">
        <f ca="1">_xll.BDP("BO616288 Corp","TKT_ACCRUED")</f>
        <v>#NAME?</v>
      </c>
      <c r="F2" t="e">
        <f ca="1">_xll.BDP("BO616288 Corp","COUPON_FREQUENCY_DESCRIPTION")</f>
        <v>#NAME?</v>
      </c>
      <c r="G2" t="e">
        <f ca="1">_xll.BDP("BO616288 Corp","ID_CUSIP")</f>
        <v>#NAME?</v>
      </c>
      <c r="H2" t="e">
        <f ca="1">_xll.BDP("BO616288 Corp","ID_ISIN")</f>
        <v>#NAME?</v>
      </c>
      <c r="I2">
        <v>1000</v>
      </c>
      <c r="J2" t="e">
        <f ca="1">_xll.BDP("BO616288 Corp","PX_VOLUME")</f>
        <v>#NAME?</v>
      </c>
      <c r="K2" t="e">
        <f ca="1">_xll.BDP("BO616288 Corp","CV_COMMON_TICKER")</f>
        <v>#NAME?</v>
      </c>
      <c r="L2">
        <v>2300000000</v>
      </c>
      <c r="M2" t="e">
        <f ca="1">_xll.BDP("BO616288 Corp","CV_MODEL_DELTA_S")</f>
        <v>#NAME?</v>
      </c>
      <c r="N2" t="e">
        <f ca="1">_xll.BDP("BO616288 Corp","CV_MODEL_CNVS_PREM")</f>
        <v>#NAME?</v>
      </c>
      <c r="O2" t="e">
        <f ca="1">_xll.BDP("BO616288 Corp","CV_CNVS_RATIO")</f>
        <v>#NAME?</v>
      </c>
      <c r="P2" t="e">
        <f ca="1">_xll.BDP("BO616288 Corp","CV_CNVS_PX")</f>
        <v>#NAME?</v>
      </c>
      <c r="Q2" t="e">
        <f ca="1">_xll.BDP("BO616288 Corp","INITIAL_CONVERSION_PREMIUM")</f>
        <v>#NAME?</v>
      </c>
      <c r="R2" t="e">
        <f ca="1">_xll.BDP("BO616288 Corp","ISSUE_DT")</f>
        <v>#NAME?</v>
      </c>
      <c r="S2" t="e">
        <f ca="1">_xll.BDP("BO616288 Corp","CPN")</f>
        <v>#NAME?</v>
      </c>
      <c r="T2" t="e">
        <f ca="1">_xll.BDP("BO616288 Corp","MATURITY")</f>
        <v>#NAME?</v>
      </c>
      <c r="U2" t="e">
        <f ca="1">_xll.BDP("BO616288 Corp","BB_COMPOSITE")</f>
        <v>#NAME?</v>
      </c>
      <c r="V2" t="e">
        <f ca="1">_xll.BDP("BO616288 Corp","MTY_TYP")</f>
        <v>#NAME?</v>
      </c>
      <c r="W2" t="e">
        <f ca="1">_xll.BDP("BO616288 Corp","CRNCY")</f>
        <v>#NAME?</v>
      </c>
    </row>
    <row r="3" spans="1:23" x14ac:dyDescent="0.3">
      <c r="A3" t="s">
        <v>24</v>
      </c>
      <c r="B3" t="e">
        <f ca="1">_xll.BDP("BO628562 Corp","TICKER")</f>
        <v>#NAME?</v>
      </c>
      <c r="C3" t="e">
        <f ca="1">_xll.BDP("BO628562 Corp","DAY_CNT_DES")</f>
        <v>#NAME?</v>
      </c>
      <c r="D3" t="e">
        <f ca="1">_xll.BDP("BO628562 Corp","FIRST_CPN_DT")</f>
        <v>#NAME?</v>
      </c>
      <c r="E3" t="e">
        <f ca="1">_xll.BDP("BO628562 Corp","TKT_ACCRUED")</f>
        <v>#NAME?</v>
      </c>
      <c r="F3" t="e">
        <f ca="1">_xll.BDP("BO628562 Corp","COUPON_FREQUENCY_DESCRIPTION")</f>
        <v>#NAME?</v>
      </c>
      <c r="G3" t="e">
        <f ca="1">_xll.BDP("BO628562 Corp","ID_CUSIP")</f>
        <v>#NAME?</v>
      </c>
      <c r="H3" t="e">
        <f ca="1">_xll.BDP("BO628562 Corp","ID_ISIN")</f>
        <v>#NAME?</v>
      </c>
      <c r="I3">
        <v>1000</v>
      </c>
      <c r="J3" t="e">
        <f ca="1">_xll.BDP("BO628562 Corp","PX_VOLUME")</f>
        <v>#NAME?</v>
      </c>
      <c r="K3" t="e">
        <f ca="1">_xll.BDP("BO628562 Corp","CV_COMMON_TICKER")</f>
        <v>#NAME?</v>
      </c>
      <c r="L3">
        <v>175000000</v>
      </c>
      <c r="M3" t="e">
        <f ca="1">_xll.BDP("BO628562 Corp","CV_MODEL_DELTA_S")</f>
        <v>#NAME?</v>
      </c>
      <c r="N3" t="e">
        <f ca="1">_xll.BDP("BO628562 Corp","CV_MODEL_CNVS_PREM")</f>
        <v>#NAME?</v>
      </c>
      <c r="O3" t="e">
        <f ca="1">_xll.BDP("BO628562 Corp","CV_CNVS_RATIO")</f>
        <v>#NAME?</v>
      </c>
      <c r="P3" t="e">
        <f ca="1">_xll.BDP("BO628562 Corp","CV_CNVS_PX")</f>
        <v>#NAME?</v>
      </c>
      <c r="Q3" t="e">
        <f ca="1">_xll.BDP("BO628562 Corp","INITIAL_CONVERSION_PREMIUM")</f>
        <v>#NAME?</v>
      </c>
      <c r="R3" t="e">
        <f ca="1">_xll.BDP("BO628562 Corp","ISSUE_DT")</f>
        <v>#NAME?</v>
      </c>
      <c r="S3" t="e">
        <f ca="1">_xll.BDP("BO628562 Corp","CPN")</f>
        <v>#NAME?</v>
      </c>
      <c r="T3" t="e">
        <f ca="1">_xll.BDP("BO628562 Corp","MATURITY")</f>
        <v>#NAME?</v>
      </c>
      <c r="U3" t="e">
        <f ca="1">_xll.BDP("BO628562 Corp","BB_COMPOSITE")</f>
        <v>#NAME?</v>
      </c>
      <c r="V3" t="e">
        <f ca="1">_xll.BDP("BO628562 Corp","MTY_TYP")</f>
        <v>#NAME?</v>
      </c>
      <c r="W3" t="e">
        <f ca="1">_xll.BDP("BO628562 Corp","CRNCY")</f>
        <v>#NAME?</v>
      </c>
    </row>
    <row r="4" spans="1:23" x14ac:dyDescent="0.3">
      <c r="A4" t="s">
        <v>25</v>
      </c>
      <c r="B4" t="e">
        <f ca="1">_xll.BDP("DA692705 Corp","TICKER")</f>
        <v>#NAME?</v>
      </c>
      <c r="C4" t="e">
        <f ca="1">_xll.BDP("DA692705 Corp","DAY_CNT_DES")</f>
        <v>#NAME?</v>
      </c>
      <c r="D4" t="e">
        <f ca="1">_xll.BDP("DA692705 Corp","FIRST_CPN_DT")</f>
        <v>#NAME?</v>
      </c>
      <c r="E4" t="e">
        <f ca="1">_xll.BDP("DA692705 Corp","TKT_ACCRUED")</f>
        <v>#NAME?</v>
      </c>
      <c r="F4" t="e">
        <f ca="1">_xll.BDP("DA692705 Corp","COUPON_FREQUENCY_DESCRIPTION")</f>
        <v>#NAME?</v>
      </c>
      <c r="G4" t="e">
        <f ca="1">_xll.BDP("DA692705 Corp","ID_CUSIP")</f>
        <v>#NAME?</v>
      </c>
      <c r="H4" t="e">
        <f ca="1">_xll.BDP("DA692705 Corp","ID_ISIN")</f>
        <v>#NAME?</v>
      </c>
      <c r="I4">
        <v>1000</v>
      </c>
      <c r="J4" t="e">
        <f ca="1">_xll.BDP("DA692705 Corp","PX_VOLUME")</f>
        <v>#NAME?</v>
      </c>
      <c r="K4" t="e">
        <f ca="1">_xll.BDP("DA692705 Corp","CV_COMMON_TICKER")</f>
        <v>#NAME?</v>
      </c>
      <c r="L4">
        <v>1150000000</v>
      </c>
      <c r="M4" t="e">
        <f ca="1">_xll.BDP("DA692705 Corp","CV_MODEL_DELTA_S")</f>
        <v>#NAME?</v>
      </c>
      <c r="N4" t="e">
        <f ca="1">_xll.BDP("DA692705 Corp","CV_MODEL_CNVS_PREM")</f>
        <v>#NAME?</v>
      </c>
      <c r="O4" t="e">
        <f ca="1">_xll.BDP("DA692705 Corp","CV_CNVS_RATIO")</f>
        <v>#NAME?</v>
      </c>
      <c r="P4" t="e">
        <f ca="1">_xll.BDP("DA692705 Corp","CV_CNVS_PX")</f>
        <v>#NAME?</v>
      </c>
      <c r="Q4" t="e">
        <f ca="1">_xll.BDP("DA692705 Corp","INITIAL_CONVERSION_PREMIUM")</f>
        <v>#NAME?</v>
      </c>
      <c r="R4" t="e">
        <f ca="1">_xll.BDP("DA692705 Corp","ISSUE_DT")</f>
        <v>#NAME?</v>
      </c>
      <c r="S4" t="e">
        <f ca="1">_xll.BDP("DA692705 Corp","CPN")</f>
        <v>#NAME?</v>
      </c>
      <c r="T4" t="e">
        <f ca="1">_xll.BDP("DA692705 Corp","MATURITY")</f>
        <v>#NAME?</v>
      </c>
      <c r="U4" t="e">
        <f ca="1">_xll.BDP("DA692705 Corp","BB_COMPOSITE")</f>
        <v>#NAME?</v>
      </c>
      <c r="V4" t="e">
        <f ca="1">_xll.BDP("DA692705 Corp","MTY_TYP")</f>
        <v>#NAME?</v>
      </c>
      <c r="W4" t="e">
        <f ca="1">_xll.BDP("DA692705 Corp","CRNCY")</f>
        <v>#NAME?</v>
      </c>
    </row>
    <row r="5" spans="1:23" x14ac:dyDescent="0.3">
      <c r="A5" t="s">
        <v>26</v>
      </c>
      <c r="B5" t="e">
        <f ca="1">_xll.BDP("DC022387 Corp","TICKER")</f>
        <v>#NAME?</v>
      </c>
      <c r="C5" t="e">
        <f ca="1">_xll.BDP("DC022387 Corp","DAY_CNT_DES")</f>
        <v>#NAME?</v>
      </c>
      <c r="D5" t="e">
        <f ca="1">_xll.BDP("DC022387 Corp","FIRST_CPN_DT")</f>
        <v>#NAME?</v>
      </c>
      <c r="E5" t="e">
        <f ca="1">_xll.BDP("DC022387 Corp","TKT_ACCRUED")</f>
        <v>#NAME?</v>
      </c>
      <c r="F5" t="e">
        <f ca="1">_xll.BDP("DC022387 Corp","COUPON_FREQUENCY_DESCRIPTION")</f>
        <v>#NAME?</v>
      </c>
      <c r="G5" t="e">
        <f ca="1">_xll.BDP("DC022387 Corp","ID_CUSIP")</f>
        <v>#NAME?</v>
      </c>
      <c r="H5" t="e">
        <f ca="1">_xll.BDP("DC022387 Corp","ID_ISIN")</f>
        <v>#NAME?</v>
      </c>
      <c r="I5">
        <v>1000</v>
      </c>
      <c r="J5" t="e">
        <f ca="1">_xll.BDP("DC022387 Corp","PX_VOLUME")</f>
        <v>#NAME?</v>
      </c>
      <c r="K5" t="e">
        <f ca="1">_xll.BDP("DC022387 Corp","CV_COMMON_TICKER")</f>
        <v>#NAME?</v>
      </c>
      <c r="L5">
        <v>1000000000</v>
      </c>
      <c r="M5" t="e">
        <f ca="1">_xll.BDP("DC022387 Corp","CV_MODEL_DELTA_S")</f>
        <v>#NAME?</v>
      </c>
      <c r="N5" t="e">
        <f ca="1">_xll.BDP("DC022387 Corp","CV_MODEL_CNVS_PREM")</f>
        <v>#NAME?</v>
      </c>
      <c r="O5" t="e">
        <f ca="1">_xll.BDP("DC022387 Corp","CV_CNVS_RATIO")</f>
        <v>#NAME?</v>
      </c>
      <c r="P5" t="e">
        <f ca="1">_xll.BDP("DC022387 Corp","CV_CNVS_PX")</f>
        <v>#NAME?</v>
      </c>
      <c r="Q5" t="e">
        <f ca="1">_xll.BDP("DC022387 Corp","INITIAL_CONVERSION_PREMIUM")</f>
        <v>#NAME?</v>
      </c>
      <c r="R5" t="e">
        <f ca="1">_xll.BDP("DC022387 Corp","ISSUE_DT")</f>
        <v>#NAME?</v>
      </c>
      <c r="S5" t="e">
        <f ca="1">_xll.BDP("DC022387 Corp","CPN")</f>
        <v>#NAME?</v>
      </c>
      <c r="T5" t="e">
        <f ca="1">_xll.BDP("DC022387 Corp","MATURITY")</f>
        <v>#NAME?</v>
      </c>
      <c r="U5" t="e">
        <f ca="1">_xll.BDP("DC022387 Corp","BB_COMPOSITE")</f>
        <v>#NAME?</v>
      </c>
      <c r="V5" t="e">
        <f ca="1">_xll.BDP("DC022387 Corp","MTY_TYP")</f>
        <v>#NAME?</v>
      </c>
      <c r="W5" t="e">
        <f ca="1">_xll.BDP("DC022387 Corp","CRNCY")</f>
        <v>#NAME?</v>
      </c>
    </row>
    <row r="6" spans="1:23" x14ac:dyDescent="0.3">
      <c r="A6" t="s">
        <v>27</v>
      </c>
      <c r="B6" t="e">
        <f ca="1">_xll.BDP("YK413518 Corp","TICKER")</f>
        <v>#NAME?</v>
      </c>
      <c r="C6" t="e">
        <f ca="1">_xll.BDP("YK413518 Corp","DAY_CNT_DES")</f>
        <v>#NAME?</v>
      </c>
      <c r="D6" t="e">
        <f ca="1">_xll.BDP("YK413518 Corp","FIRST_CPN_DT")</f>
        <v>#NAME?</v>
      </c>
      <c r="E6" t="e">
        <f ca="1">_xll.BDP("YK413518 Corp","TKT_ACCRUED")</f>
        <v>#NAME?</v>
      </c>
      <c r="F6" t="e">
        <f ca="1">_xll.BDP("YK413518 Corp","COUPON_FREQUENCY_DESCRIPTION")</f>
        <v>#NAME?</v>
      </c>
      <c r="G6" t="e">
        <f ca="1">_xll.BDP("YK413518 Corp","ID_CUSIP")</f>
        <v>#NAME?</v>
      </c>
      <c r="H6" t="e">
        <f ca="1">_xll.BDP("YK413518 Corp","ID_ISIN")</f>
        <v>#NAME?</v>
      </c>
      <c r="I6">
        <v>1000</v>
      </c>
      <c r="J6" t="e">
        <f ca="1">_xll.BDP("YK413518 Corp","PX_VOLUME")</f>
        <v>#NAME?</v>
      </c>
      <c r="K6" t="e">
        <f ca="1">_xll.BDP("YK413518 Corp","CV_COMMON_TICKER")</f>
        <v>#NAME?</v>
      </c>
      <c r="L6">
        <v>1000000000</v>
      </c>
      <c r="M6" t="e">
        <f ca="1">_xll.BDP("YK413518 Corp","CV_MODEL_DELTA_S")</f>
        <v>#NAME?</v>
      </c>
      <c r="N6" t="e">
        <f ca="1">_xll.BDP("YK413518 Corp","CV_MODEL_CNVS_PREM")</f>
        <v>#NAME?</v>
      </c>
      <c r="O6" t="e">
        <f ca="1">_xll.BDP("YK413518 Corp","CV_CNVS_RATIO")</f>
        <v>#NAME?</v>
      </c>
      <c r="P6" t="e">
        <f ca="1">_xll.BDP("YK413518 Corp","CV_CNVS_PX")</f>
        <v>#NAME?</v>
      </c>
      <c r="Q6" t="e">
        <f ca="1">_xll.BDP("YK413518 Corp","INITIAL_CONVERSION_PREMIUM")</f>
        <v>#NAME?</v>
      </c>
      <c r="R6" t="e">
        <f ca="1">_xll.BDP("YK413518 Corp","ISSUE_DT")</f>
        <v>#NAME?</v>
      </c>
      <c r="S6" t="e">
        <f ca="1">_xll.BDP("YK413518 Corp","CPN")</f>
        <v>#NAME?</v>
      </c>
      <c r="T6" t="e">
        <f ca="1">_xll.BDP("YK413518 Corp","MATURITY")</f>
        <v>#NAME?</v>
      </c>
      <c r="U6" t="e">
        <f ca="1">_xll.BDP("YK413518 Corp","BB_COMPOSITE")</f>
        <v>#NAME?</v>
      </c>
      <c r="V6" t="e">
        <f ca="1">_xll.BDP("YK413518 Corp","MTY_TYP")</f>
        <v>#NAME?</v>
      </c>
      <c r="W6" t="e">
        <f ca="1">_xll.BDP("YK413518 Corp","CRNCY")</f>
        <v>#NAME?</v>
      </c>
    </row>
    <row r="7" spans="1:23" x14ac:dyDescent="0.3">
      <c r="A7" t="s">
        <v>28</v>
      </c>
      <c r="B7" t="e">
        <f ca="1">_xll.BDP("YL317435 Corp","TICKER")</f>
        <v>#NAME?</v>
      </c>
      <c r="C7" t="e">
        <f ca="1">_xll.BDP("YL317435 Corp","DAY_CNT_DES")</f>
        <v>#NAME?</v>
      </c>
      <c r="D7" t="e">
        <f ca="1">_xll.BDP("YL317435 Corp","FIRST_CPN_DT")</f>
        <v>#NAME?</v>
      </c>
      <c r="E7" t="e">
        <f ca="1">_xll.BDP("YL317435 Corp","TKT_ACCRUED")</f>
        <v>#NAME?</v>
      </c>
      <c r="F7" t="e">
        <f ca="1">_xll.BDP("YL317435 Corp","COUPON_FREQUENCY_DESCRIPTION")</f>
        <v>#NAME?</v>
      </c>
      <c r="G7" t="e">
        <f ca="1">_xll.BDP("YL317435 Corp","ID_CUSIP")</f>
        <v>#NAME?</v>
      </c>
      <c r="H7" t="e">
        <f ca="1">_xll.BDP("YL317435 Corp","ID_ISIN")</f>
        <v>#NAME?</v>
      </c>
      <c r="I7">
        <v>1000</v>
      </c>
      <c r="J7" t="e">
        <f ca="1">_xll.BDP("YL317435 Corp","PX_VOLUME")</f>
        <v>#NAME?</v>
      </c>
      <c r="K7" t="e">
        <f ca="1">_xll.BDP("YL317435 Corp","CV_COMMON_TICKER")</f>
        <v>#NAME?</v>
      </c>
      <c r="L7">
        <v>1000000000</v>
      </c>
      <c r="M7" t="e">
        <f ca="1">_xll.BDP("YL317435 Corp","CV_MODEL_DELTA_S")</f>
        <v>#NAME?</v>
      </c>
      <c r="N7" t="e">
        <f ca="1">_xll.BDP("YL317435 Corp","CV_MODEL_CNVS_PREM")</f>
        <v>#NAME?</v>
      </c>
      <c r="O7" t="e">
        <f ca="1">_xll.BDP("YL317435 Corp","CV_CNVS_RATIO")</f>
        <v>#NAME?</v>
      </c>
      <c r="P7" t="e">
        <f ca="1">_xll.BDP("YL317435 Corp","CV_CNVS_PX")</f>
        <v>#NAME?</v>
      </c>
      <c r="Q7" t="e">
        <f ca="1">_xll.BDP("YL317435 Corp","INITIAL_CONVERSION_PREMIUM")</f>
        <v>#NAME?</v>
      </c>
      <c r="R7" t="e">
        <f ca="1">_xll.BDP("YL317435 Corp","ISSUE_DT")</f>
        <v>#NAME?</v>
      </c>
      <c r="S7" t="e">
        <f ca="1">_xll.BDP("YL317435 Corp","CPN")</f>
        <v>#NAME?</v>
      </c>
      <c r="T7" t="e">
        <f ca="1">_xll.BDP("YL317435 Corp","MATURITY")</f>
        <v>#NAME?</v>
      </c>
      <c r="U7" t="e">
        <f ca="1">_xll.BDP("YL317435 Corp","BB_COMPOSITE")</f>
        <v>#NAME?</v>
      </c>
      <c r="V7" t="e">
        <f ca="1">_xll.BDP("YL317435 Corp","MTY_TYP")</f>
        <v>#NAME?</v>
      </c>
      <c r="W7" t="e">
        <f ca="1">_xll.BDP("YL317435 Corp","CRNCY")</f>
        <v>#NAME?</v>
      </c>
    </row>
    <row r="8" spans="1:23" x14ac:dyDescent="0.3">
      <c r="A8" t="s">
        <v>29</v>
      </c>
      <c r="B8" t="e">
        <f ca="1">_xll.BDP("YN175511 Corp","TICKER")</f>
        <v>#NAME?</v>
      </c>
      <c r="C8" t="e">
        <f ca="1">_xll.BDP("YN175511 Corp","DAY_CNT_DES")</f>
        <v>#NAME?</v>
      </c>
      <c r="D8" t="e">
        <f ca="1">_xll.BDP("YN175511 Corp","FIRST_CPN_DT")</f>
        <v>#NAME?</v>
      </c>
      <c r="E8" t="e">
        <f ca="1">_xll.BDP("YN175511 Corp","TKT_ACCRUED")</f>
        <v>#NAME?</v>
      </c>
      <c r="F8" t="e">
        <f ca="1">_xll.BDP("YN175511 Corp","COUPON_FREQUENCY_DESCRIPTION")</f>
        <v>#NAME?</v>
      </c>
      <c r="G8" t="e">
        <f ca="1">_xll.BDP("YN175511 Corp","ID_CUSIP")</f>
        <v>#NAME?</v>
      </c>
      <c r="H8" t="e">
        <f ca="1">_xll.BDP("YN175511 Corp","ID_ISIN")</f>
        <v>#NAME?</v>
      </c>
      <c r="I8">
        <v>1000</v>
      </c>
      <c r="J8" t="e">
        <f ca="1">_xll.BDP("YN175511 Corp","PX_VOLUME")</f>
        <v>#NAME?</v>
      </c>
      <c r="K8" t="e">
        <f ca="1">_xll.BDP("YN175511 Corp","CV_COMMON_TICKER")</f>
        <v>#NAME?</v>
      </c>
      <c r="L8">
        <v>900000000</v>
      </c>
      <c r="M8" t="e">
        <f ca="1">_xll.BDP("YN175511 Corp","CV_MODEL_DELTA_S")</f>
        <v>#NAME?</v>
      </c>
      <c r="N8" t="e">
        <f ca="1">_xll.BDP("YN175511 Corp","CV_MODEL_CNVS_PREM")</f>
        <v>#NAME?</v>
      </c>
      <c r="O8" t="e">
        <f ca="1">_xll.BDP("YN175511 Corp","CV_CNVS_RATIO")</f>
        <v>#NAME?</v>
      </c>
      <c r="P8" t="e">
        <f ca="1">_xll.BDP("YN175511 Corp","CV_CNVS_PX")</f>
        <v>#NAME?</v>
      </c>
      <c r="Q8" t="e">
        <f ca="1">_xll.BDP("YN175511 Corp","INITIAL_CONVERSION_PREMIUM")</f>
        <v>#NAME?</v>
      </c>
      <c r="R8" t="e">
        <f ca="1">_xll.BDP("YN175511 Corp","ISSUE_DT")</f>
        <v>#NAME?</v>
      </c>
      <c r="S8" t="e">
        <f ca="1">_xll.BDP("YN175511 Corp","CPN")</f>
        <v>#NAME?</v>
      </c>
      <c r="T8" t="e">
        <f ca="1">_xll.BDP("YN175511 Corp","MATURITY")</f>
        <v>#NAME?</v>
      </c>
      <c r="U8" t="e">
        <f ca="1">_xll.BDP("YN175511 Corp","BB_COMPOSITE")</f>
        <v>#NAME?</v>
      </c>
      <c r="V8" t="e">
        <f ca="1">_xll.BDP("YN175511 Corp","MTY_TYP")</f>
        <v>#NAME?</v>
      </c>
      <c r="W8" t="e">
        <f ca="1">_xll.BDP("YN175511 Corp","CRNCY")</f>
        <v>#NAME?</v>
      </c>
    </row>
    <row r="9" spans="1:23" x14ac:dyDescent="0.3">
      <c r="A9" t="s">
        <v>30</v>
      </c>
      <c r="B9" t="e">
        <f ca="1">_xll.BDP("YT035138 Corp","TICKER")</f>
        <v>#NAME?</v>
      </c>
      <c r="C9" t="e">
        <f ca="1">_xll.BDP("YT035138 Corp","DAY_CNT_DES")</f>
        <v>#NAME?</v>
      </c>
      <c r="D9" t="e">
        <f ca="1">_xll.BDP("YT035138 Corp","FIRST_CPN_DT")</f>
        <v>#NAME?</v>
      </c>
      <c r="E9" t="e">
        <f ca="1">_xll.BDP("YT035138 Corp","TKT_ACCRUED")</f>
        <v>#NAME?</v>
      </c>
      <c r="F9" t="e">
        <f ca="1">_xll.BDP("YT035138 Corp","COUPON_FREQUENCY_DESCRIPTION")</f>
        <v>#NAME?</v>
      </c>
      <c r="G9" t="e">
        <f ca="1">_xll.BDP("YT035138 Corp","ID_CUSIP")</f>
        <v>#NAME?</v>
      </c>
      <c r="H9" t="e">
        <f ca="1">_xll.BDP("YT035138 Corp","ID_ISIN")</f>
        <v>#NAME?</v>
      </c>
      <c r="I9">
        <v>1000</v>
      </c>
      <c r="J9" t="e">
        <f ca="1">_xll.BDP("YT035138 Corp","PX_VOLUME")</f>
        <v>#NAME?</v>
      </c>
      <c r="K9" t="e">
        <f ca="1">_xll.BDP("YT035138 Corp","CV_COMMON_TICKER")</f>
        <v>#NAME?</v>
      </c>
      <c r="L9">
        <v>1150000000</v>
      </c>
      <c r="M9" t="e">
        <f ca="1">_xll.BDP("YT035138 Corp","CV_MODEL_DELTA_S")</f>
        <v>#NAME?</v>
      </c>
      <c r="N9" t="e">
        <f ca="1">_xll.BDP("YT035138 Corp","CV_MODEL_CNVS_PREM")</f>
        <v>#NAME?</v>
      </c>
      <c r="O9" t="e">
        <f ca="1">_xll.BDP("YT035138 Corp","CV_CNVS_RATIO")</f>
        <v>#NAME?</v>
      </c>
      <c r="P9" t="e">
        <f ca="1">_xll.BDP("YT035138 Corp","CV_CNVS_PX")</f>
        <v>#NAME?</v>
      </c>
      <c r="Q9" t="e">
        <f ca="1">_xll.BDP("YT035138 Corp","INITIAL_CONVERSION_PREMIUM")</f>
        <v>#NAME?</v>
      </c>
      <c r="R9" t="e">
        <f ca="1">_xll.BDP("YT035138 Corp","ISSUE_DT")</f>
        <v>#NAME?</v>
      </c>
      <c r="S9" t="e">
        <f ca="1">_xll.BDP("YT035138 Corp","CPN")</f>
        <v>#NAME?</v>
      </c>
      <c r="T9" t="e">
        <f ca="1">_xll.BDP("YT035138 Corp","MATURITY")</f>
        <v>#NAME?</v>
      </c>
      <c r="U9" t="e">
        <f ca="1">_xll.BDP("YT035138 Corp","BB_COMPOSITE")</f>
        <v>#NAME?</v>
      </c>
      <c r="V9" t="e">
        <f ca="1">_xll.BDP("YT035138 Corp","MTY_TYP")</f>
        <v>#NAME?</v>
      </c>
      <c r="W9" t="e">
        <f ca="1">_xll.BDP("YT035138 Corp","CRNCY")</f>
        <v>#NAME?</v>
      </c>
    </row>
    <row r="10" spans="1:23" x14ac:dyDescent="0.3">
      <c r="A10" t="s">
        <v>31</v>
      </c>
      <c r="B10" t="e">
        <f ca="1">_xll.BDP("YU976654 Corp","TICKER")</f>
        <v>#NAME?</v>
      </c>
      <c r="C10" t="e">
        <f ca="1">_xll.BDP("YU976654 Corp","DAY_CNT_DES")</f>
        <v>#NAME?</v>
      </c>
      <c r="D10" t="e">
        <f ca="1">_xll.BDP("YU976654 Corp","FIRST_CPN_DT")</f>
        <v>#NAME?</v>
      </c>
      <c r="E10" t="e">
        <f ca="1">_xll.BDP("YU976654 Corp","TKT_ACCRUED")</f>
        <v>#NAME?</v>
      </c>
      <c r="F10" t="e">
        <f ca="1">_xll.BDP("YU976654 Corp","COUPON_FREQUENCY_DESCRIPTION")</f>
        <v>#NAME?</v>
      </c>
      <c r="G10" t="e">
        <f ca="1">_xll.BDP("YU976654 Corp","ID_CUSIP")</f>
        <v>#NAME?</v>
      </c>
      <c r="H10" t="e">
        <f ca="1">_xll.BDP("YU976654 Corp","ID_ISIN")</f>
        <v>#NAME?</v>
      </c>
      <c r="I10">
        <v>1000</v>
      </c>
      <c r="J10" t="e">
        <f ca="1">_xll.BDP("YU976654 Corp","PX_VOLUME")</f>
        <v>#NAME?</v>
      </c>
      <c r="K10" t="e">
        <f ca="1">_xll.BDP("YU976654 Corp","CV_COMMON_TICKER")</f>
        <v>#NAME?</v>
      </c>
      <c r="L10">
        <v>230000000</v>
      </c>
      <c r="M10" t="e">
        <f ca="1">_xll.BDP("YU976654 Corp","CV_MODEL_DELTA_S")</f>
        <v>#NAME?</v>
      </c>
      <c r="N10" t="e">
        <f ca="1">_xll.BDP("YU976654 Corp","CV_MODEL_CNVS_PREM")</f>
        <v>#NAME?</v>
      </c>
      <c r="O10" t="e">
        <f ca="1">_xll.BDP("YU976654 Corp","CV_CNVS_RATIO")</f>
        <v>#NAME?</v>
      </c>
      <c r="P10" t="e">
        <f ca="1">_xll.BDP("YU976654 Corp","CV_CNVS_PX")</f>
        <v>#NAME?</v>
      </c>
      <c r="Q10" t="e">
        <f ca="1">_xll.BDP("YU976654 Corp","INITIAL_CONVERSION_PREMIUM")</f>
        <v>#NAME?</v>
      </c>
      <c r="R10" t="e">
        <f ca="1">_xll.BDP("YU976654 Corp","ISSUE_DT")</f>
        <v>#NAME?</v>
      </c>
      <c r="S10" t="e">
        <f ca="1">_xll.BDP("YU976654 Corp","CPN")</f>
        <v>#NAME?</v>
      </c>
      <c r="T10" t="e">
        <f ca="1">_xll.BDP("YU976654 Corp","MATURITY")</f>
        <v>#NAME?</v>
      </c>
      <c r="U10" t="e">
        <f ca="1">_xll.BDP("YU976654 Corp","BB_COMPOSITE")</f>
        <v>#NAME?</v>
      </c>
      <c r="V10" t="e">
        <f ca="1">_xll.BDP("YU976654 Corp","MTY_TYP")</f>
        <v>#NAME?</v>
      </c>
      <c r="W10" t="e">
        <f ca="1">_xll.BDP("YU976654 Corp","CRNCY")</f>
        <v>#NAME?</v>
      </c>
    </row>
    <row r="11" spans="1:23" x14ac:dyDescent="0.3">
      <c r="A11" t="s">
        <v>29</v>
      </c>
      <c r="B11" t="e">
        <f ca="1">_xll.BDP("YX290202 Corp","TICKER")</f>
        <v>#NAME?</v>
      </c>
      <c r="C11" t="e">
        <f ca="1">_xll.BDP("YX290202 Corp","DAY_CNT_DES")</f>
        <v>#NAME?</v>
      </c>
      <c r="D11" t="e">
        <f ca="1">_xll.BDP("YX290202 Corp","FIRST_CPN_DT")</f>
        <v>#NAME?</v>
      </c>
      <c r="E11" t="e">
        <f ca="1">_xll.BDP("YX290202 Corp","TKT_ACCRUED")</f>
        <v>#NAME?</v>
      </c>
      <c r="F11" t="e">
        <f ca="1">_xll.BDP("YX290202 Corp","COUPON_FREQUENCY_DESCRIPTION")</f>
        <v>#NAME?</v>
      </c>
      <c r="G11" t="e">
        <f ca="1">_xll.BDP("YX290202 Corp","ID_CUSIP")</f>
        <v>#NAME?</v>
      </c>
      <c r="H11" t="e">
        <f ca="1">_xll.BDP("YX290202 Corp","ID_ISIN")</f>
        <v>#NAME?</v>
      </c>
      <c r="I11">
        <v>1000</v>
      </c>
      <c r="J11" t="e">
        <f ca="1">_xll.BDP("YX290202 Corp","PX_VOLUME")</f>
        <v>#NAME?</v>
      </c>
      <c r="K11" t="e">
        <f ca="1">_xll.BDP("YX290202 Corp","CV_COMMON_TICKER")</f>
        <v>#NAME?</v>
      </c>
      <c r="L11">
        <v>862500000</v>
      </c>
      <c r="M11" t="e">
        <f ca="1">_xll.BDP("YX290202 Corp","CV_MODEL_DELTA_S")</f>
        <v>#NAME?</v>
      </c>
      <c r="N11" t="e">
        <f ca="1">_xll.BDP("YX290202 Corp","CV_MODEL_CNVS_PREM")</f>
        <v>#NAME?</v>
      </c>
      <c r="O11" t="e">
        <f ca="1">_xll.BDP("YX290202 Corp","CV_CNVS_RATIO")</f>
        <v>#NAME?</v>
      </c>
      <c r="P11" t="e">
        <f ca="1">_xll.BDP("YX290202 Corp","CV_CNVS_PX")</f>
        <v>#NAME?</v>
      </c>
      <c r="Q11" t="e">
        <f ca="1">_xll.BDP("YX290202 Corp","INITIAL_CONVERSION_PREMIUM")</f>
        <v>#NAME?</v>
      </c>
      <c r="R11" t="e">
        <f ca="1">_xll.BDP("YX290202 Corp","ISSUE_DT")</f>
        <v>#NAME?</v>
      </c>
      <c r="S11" t="e">
        <f ca="1">_xll.BDP("YX290202 Corp","CPN")</f>
        <v>#NAME?</v>
      </c>
      <c r="T11" t="e">
        <f ca="1">_xll.BDP("YX290202 Corp","MATURITY")</f>
        <v>#NAME?</v>
      </c>
      <c r="U11" t="e">
        <f ca="1">_xll.BDP("YX290202 Corp","BB_COMPOSITE")</f>
        <v>#NAME?</v>
      </c>
      <c r="V11" t="e">
        <f ca="1">_xll.BDP("YX290202 Corp","MTY_TYP")</f>
        <v>#NAME?</v>
      </c>
      <c r="W11" t="e">
        <f ca="1">_xll.BDP("YX290202 Corp","CRNCY")</f>
        <v>#NAME?</v>
      </c>
    </row>
    <row r="12" spans="1:23" x14ac:dyDescent="0.3">
      <c r="A12" t="s">
        <v>29</v>
      </c>
      <c r="B12" t="e">
        <f ca="1">_xll.BDP("YX290387 Corp","TICKER")</f>
        <v>#NAME?</v>
      </c>
      <c r="C12" t="e">
        <f ca="1">_xll.BDP("YX290387 Corp","DAY_CNT_DES")</f>
        <v>#NAME?</v>
      </c>
      <c r="D12" t="e">
        <f ca="1">_xll.BDP("YX290387 Corp","FIRST_CPN_DT")</f>
        <v>#NAME?</v>
      </c>
      <c r="E12" t="e">
        <f ca="1">_xll.BDP("YX290387 Corp","TKT_ACCRUED")</f>
        <v>#NAME?</v>
      </c>
      <c r="F12" t="e">
        <f ca="1">_xll.BDP("YX290387 Corp","COUPON_FREQUENCY_DESCRIPTION")</f>
        <v>#NAME?</v>
      </c>
      <c r="G12" t="e">
        <f ca="1">_xll.BDP("YX290387 Corp","ID_CUSIP")</f>
        <v>#NAME?</v>
      </c>
      <c r="H12" t="e">
        <f ca="1">_xll.BDP("YX290387 Corp","ID_ISIN")</f>
        <v>#NAME?</v>
      </c>
      <c r="I12">
        <v>1000</v>
      </c>
      <c r="J12" t="e">
        <f ca="1">_xll.BDP("YX290387 Corp","PX_VOLUME")</f>
        <v>#NAME?</v>
      </c>
      <c r="K12" t="e">
        <f ca="1">_xll.BDP("YX290387 Corp","CV_COMMON_TICKER")</f>
        <v>#NAME?</v>
      </c>
      <c r="L12">
        <v>862500000</v>
      </c>
      <c r="M12" t="e">
        <f ca="1">_xll.BDP("YX290387 Corp","CV_MODEL_DELTA_S")</f>
        <v>#NAME?</v>
      </c>
      <c r="N12" t="e">
        <f ca="1">_xll.BDP("YX290387 Corp","CV_MODEL_CNVS_PREM")</f>
        <v>#NAME?</v>
      </c>
      <c r="O12" t="e">
        <f ca="1">_xll.BDP("YX290387 Corp","CV_CNVS_RATIO")</f>
        <v>#NAME?</v>
      </c>
      <c r="P12" t="e">
        <f ca="1">_xll.BDP("YX290387 Corp","CV_CNVS_PX")</f>
        <v>#NAME?</v>
      </c>
      <c r="Q12" t="e">
        <f ca="1">_xll.BDP("YX290387 Corp","INITIAL_CONVERSION_PREMIUM")</f>
        <v>#NAME?</v>
      </c>
      <c r="R12" t="e">
        <f ca="1">_xll.BDP("YX290387 Corp","ISSUE_DT")</f>
        <v>#NAME?</v>
      </c>
      <c r="S12" t="e">
        <f ca="1">_xll.BDP("YX290387 Corp","CPN")</f>
        <v>#NAME?</v>
      </c>
      <c r="T12" t="e">
        <f ca="1">_xll.BDP("YX290387 Corp","MATURITY")</f>
        <v>#NAME?</v>
      </c>
      <c r="U12" t="e">
        <f ca="1">_xll.BDP("YX290387 Corp","BB_COMPOSITE")</f>
        <v>#NAME?</v>
      </c>
      <c r="V12" t="e">
        <f ca="1">_xll.BDP("YX290387 Corp","MTY_TYP")</f>
        <v>#NAME?</v>
      </c>
      <c r="W12" t="e">
        <f ca="1">_xll.BDP("YX290387 Corp","CRNCY")</f>
        <v>#NAME?</v>
      </c>
    </row>
    <row r="13" spans="1:23" x14ac:dyDescent="0.3">
      <c r="A13" t="s">
        <v>32</v>
      </c>
      <c r="B13" t="e">
        <f ca="1">_xll.BDP("ZB075437 Corp","TICKER")</f>
        <v>#NAME?</v>
      </c>
      <c r="C13" t="e">
        <f ca="1">_xll.BDP("ZB075437 Corp","DAY_CNT_DES")</f>
        <v>#NAME?</v>
      </c>
      <c r="D13" t="e">
        <f ca="1">_xll.BDP("ZB075437 Corp","FIRST_CPN_DT")</f>
        <v>#NAME?</v>
      </c>
      <c r="E13" t="e">
        <f ca="1">_xll.BDP("ZB075437 Corp","TKT_ACCRUED")</f>
        <v>#NAME?</v>
      </c>
      <c r="F13" t="e">
        <f ca="1">_xll.BDP("ZB075437 Corp","COUPON_FREQUENCY_DESCRIPTION")</f>
        <v>#NAME?</v>
      </c>
      <c r="G13" t="e">
        <f ca="1">_xll.BDP("ZB075437 Corp","ID_CUSIP")</f>
        <v>#NAME?</v>
      </c>
      <c r="H13" t="e">
        <f ca="1">_xll.BDP("ZB075437 Corp","ID_ISIN")</f>
        <v>#NAME?</v>
      </c>
      <c r="I13">
        <v>1000</v>
      </c>
      <c r="J13" t="e">
        <f ca="1">_xll.BDP("ZB075437 Corp","PX_VOLUME")</f>
        <v>#NAME?</v>
      </c>
      <c r="K13" t="e">
        <f ca="1">_xll.BDP("ZB075437 Corp","CV_COMMON_TICKER")</f>
        <v>#NAME?</v>
      </c>
      <c r="L13">
        <v>575000000</v>
      </c>
      <c r="M13" t="e">
        <f ca="1">_xll.BDP("ZB075437 Corp","CV_MODEL_DELTA_S")</f>
        <v>#NAME?</v>
      </c>
      <c r="N13" t="e">
        <f ca="1">_xll.BDP("ZB075437 Corp","CV_MODEL_CNVS_PREM")</f>
        <v>#NAME?</v>
      </c>
      <c r="O13" t="e">
        <f ca="1">_xll.BDP("ZB075437 Corp","CV_CNVS_RATIO")</f>
        <v>#NAME?</v>
      </c>
      <c r="P13" t="e">
        <f ca="1">_xll.BDP("ZB075437 Corp","CV_CNVS_PX")</f>
        <v>#NAME?</v>
      </c>
      <c r="Q13" t="e">
        <f ca="1">_xll.BDP("ZB075437 Corp","INITIAL_CONVERSION_PREMIUM")</f>
        <v>#NAME?</v>
      </c>
      <c r="R13" t="e">
        <f ca="1">_xll.BDP("ZB075437 Corp","ISSUE_DT")</f>
        <v>#NAME?</v>
      </c>
      <c r="S13" t="e">
        <f ca="1">_xll.BDP("ZB075437 Corp","CPN")</f>
        <v>#NAME?</v>
      </c>
      <c r="T13" t="e">
        <f ca="1">_xll.BDP("ZB075437 Corp","MATURITY")</f>
        <v>#NAME?</v>
      </c>
      <c r="U13" t="e">
        <f ca="1">_xll.BDP("ZB075437 Corp","BB_COMPOSITE")</f>
        <v>#NAME?</v>
      </c>
      <c r="V13" t="e">
        <f ca="1">_xll.BDP("ZB075437 Corp","MTY_TYP")</f>
        <v>#NAME?</v>
      </c>
      <c r="W13" t="e">
        <f ca="1">_xll.BDP("ZB075437 Corp","CRNCY")</f>
        <v>#NAME?</v>
      </c>
    </row>
    <row r="14" spans="1:23" x14ac:dyDescent="0.3">
      <c r="A14" t="s">
        <v>32</v>
      </c>
      <c r="B14" t="e">
        <f ca="1">_xll.BDP("ZB076037 Corp","TICKER")</f>
        <v>#NAME?</v>
      </c>
      <c r="C14" t="e">
        <f ca="1">_xll.BDP("ZB076037 Corp","DAY_CNT_DES")</f>
        <v>#NAME?</v>
      </c>
      <c r="D14" t="e">
        <f ca="1">_xll.BDP("ZB076037 Corp","FIRST_CPN_DT")</f>
        <v>#NAME?</v>
      </c>
      <c r="E14" t="e">
        <f ca="1">_xll.BDP("ZB076037 Corp","TKT_ACCRUED")</f>
        <v>#NAME?</v>
      </c>
      <c r="F14" t="e">
        <f ca="1">_xll.BDP("ZB076037 Corp","COUPON_FREQUENCY_DESCRIPTION")</f>
        <v>#NAME?</v>
      </c>
      <c r="G14" t="e">
        <f ca="1">_xll.BDP("ZB076037 Corp","ID_CUSIP")</f>
        <v>#NAME?</v>
      </c>
      <c r="H14" t="e">
        <f ca="1">_xll.BDP("ZB076037 Corp","ID_ISIN")</f>
        <v>#NAME?</v>
      </c>
      <c r="I14">
        <v>1000</v>
      </c>
      <c r="J14" t="e">
        <f ca="1">_xll.BDP("ZB076037 Corp","PX_VOLUME")</f>
        <v>#NAME?</v>
      </c>
      <c r="K14" t="e">
        <f ca="1">_xll.BDP("ZB076037 Corp","CV_COMMON_TICKER")</f>
        <v>#NAME?</v>
      </c>
      <c r="L14">
        <v>575000000</v>
      </c>
      <c r="M14" t="e">
        <f ca="1">_xll.BDP("ZB076037 Corp","CV_MODEL_DELTA_S")</f>
        <v>#NAME?</v>
      </c>
      <c r="N14" t="e">
        <f ca="1">_xll.BDP("ZB076037 Corp","CV_MODEL_CNVS_PREM")</f>
        <v>#NAME?</v>
      </c>
      <c r="O14" t="e">
        <f ca="1">_xll.BDP("ZB076037 Corp","CV_CNVS_RATIO")</f>
        <v>#NAME?</v>
      </c>
      <c r="P14" t="e">
        <f ca="1">_xll.BDP("ZB076037 Corp","CV_CNVS_PX")</f>
        <v>#NAME?</v>
      </c>
      <c r="Q14" t="e">
        <f ca="1">_xll.BDP("ZB076037 Corp","INITIAL_CONVERSION_PREMIUM")</f>
        <v>#NAME?</v>
      </c>
      <c r="R14" t="e">
        <f ca="1">_xll.BDP("ZB076037 Corp","ISSUE_DT")</f>
        <v>#NAME?</v>
      </c>
      <c r="S14" t="e">
        <f ca="1">_xll.BDP("ZB076037 Corp","CPN")</f>
        <v>#NAME?</v>
      </c>
      <c r="T14" t="e">
        <f ca="1">_xll.BDP("ZB076037 Corp","MATURITY")</f>
        <v>#NAME?</v>
      </c>
      <c r="U14" t="e">
        <f ca="1">_xll.BDP("ZB076037 Corp","BB_COMPOSITE")</f>
        <v>#NAME?</v>
      </c>
      <c r="V14" t="e">
        <f ca="1">_xll.BDP("ZB076037 Corp","MTY_TYP")</f>
        <v>#NAME?</v>
      </c>
      <c r="W14" t="e">
        <f ca="1">_xll.BDP("ZB076037 Corp","CRNCY")</f>
        <v>#NAME?</v>
      </c>
    </row>
    <row r="15" spans="1:23" x14ac:dyDescent="0.3">
      <c r="A15" t="s">
        <v>33</v>
      </c>
      <c r="B15" t="e">
        <f ca="1">_xll.BDP("ZB916313 Corp","TICKER")</f>
        <v>#NAME?</v>
      </c>
      <c r="C15" t="e">
        <f ca="1">_xll.BDP("ZB916313 Corp","DAY_CNT_DES")</f>
        <v>#NAME?</v>
      </c>
      <c r="D15" t="e">
        <f ca="1">_xll.BDP("ZB916313 Corp","FIRST_CPN_DT")</f>
        <v>#NAME?</v>
      </c>
      <c r="E15" t="e">
        <f ca="1">_xll.BDP("ZB916313 Corp","TKT_ACCRUED")</f>
        <v>#NAME?</v>
      </c>
      <c r="F15" t="e">
        <f ca="1">_xll.BDP("ZB916313 Corp","COUPON_FREQUENCY_DESCRIPTION")</f>
        <v>#NAME?</v>
      </c>
      <c r="G15" t="e">
        <f ca="1">_xll.BDP("ZB916313 Corp","ID_CUSIP")</f>
        <v>#NAME?</v>
      </c>
      <c r="H15" t="e">
        <f ca="1">_xll.BDP("ZB916313 Corp","ID_ISIN")</f>
        <v>#NAME?</v>
      </c>
      <c r="I15">
        <v>1000</v>
      </c>
      <c r="J15" t="e">
        <f ca="1">_xll.BDP("ZB916313 Corp","PX_VOLUME")</f>
        <v>#NAME?</v>
      </c>
      <c r="K15" t="e">
        <f ca="1">_xll.BDP("ZB916313 Corp","CV_COMMON_TICKER")</f>
        <v>#NAME?</v>
      </c>
      <c r="L15">
        <v>575000000</v>
      </c>
      <c r="M15" t="e">
        <f ca="1">_xll.BDP("ZB916313 Corp","CV_MODEL_DELTA_S")</f>
        <v>#NAME?</v>
      </c>
      <c r="N15" t="e">
        <f ca="1">_xll.BDP("ZB916313 Corp","CV_MODEL_CNVS_PREM")</f>
        <v>#NAME?</v>
      </c>
      <c r="O15" t="e">
        <f ca="1">_xll.BDP("ZB916313 Corp","CV_CNVS_RATIO")</f>
        <v>#NAME?</v>
      </c>
      <c r="P15" t="e">
        <f ca="1">_xll.BDP("ZB916313 Corp","CV_CNVS_PX")</f>
        <v>#NAME?</v>
      </c>
      <c r="Q15" t="e">
        <f ca="1">_xll.BDP("ZB916313 Corp","INITIAL_CONVERSION_PREMIUM")</f>
        <v>#NAME?</v>
      </c>
      <c r="R15" t="e">
        <f ca="1">_xll.BDP("ZB916313 Corp","ISSUE_DT")</f>
        <v>#NAME?</v>
      </c>
      <c r="S15" t="e">
        <f ca="1">_xll.BDP("ZB916313 Corp","CPN")</f>
        <v>#NAME?</v>
      </c>
      <c r="T15" t="e">
        <f ca="1">_xll.BDP("ZB916313 Corp","MATURITY")</f>
        <v>#NAME?</v>
      </c>
      <c r="U15" t="e">
        <f ca="1">_xll.BDP("ZB916313 Corp","BB_COMPOSITE")</f>
        <v>#NAME?</v>
      </c>
      <c r="V15" t="e">
        <f ca="1">_xll.BDP("ZB916313 Corp","MTY_TYP")</f>
        <v>#NAME?</v>
      </c>
      <c r="W15" t="e">
        <f ca="1">_xll.BDP("ZB916313 Corp","CRNCY")</f>
        <v>#NAME?</v>
      </c>
    </row>
    <row r="16" spans="1:23" x14ac:dyDescent="0.3">
      <c r="A16" t="s">
        <v>34</v>
      </c>
      <c r="B16" t="e">
        <f ca="1">_xll.BDP("ZD361427 Corp","TICKER")</f>
        <v>#NAME?</v>
      </c>
      <c r="C16" t="e">
        <f ca="1">_xll.BDP("ZD361427 Corp","DAY_CNT_DES")</f>
        <v>#NAME?</v>
      </c>
      <c r="D16" t="e">
        <f ca="1">_xll.BDP("ZD361427 Corp","FIRST_CPN_DT")</f>
        <v>#NAME?</v>
      </c>
      <c r="E16" t="e">
        <f ca="1">_xll.BDP("ZD361427 Corp","TKT_ACCRUED")</f>
        <v>#NAME?</v>
      </c>
      <c r="F16" t="e">
        <f ca="1">_xll.BDP("ZD361427 Corp","COUPON_FREQUENCY_DESCRIPTION")</f>
        <v>#NAME?</v>
      </c>
      <c r="G16" t="e">
        <f ca="1">_xll.BDP("ZD361427 Corp","ID_CUSIP")</f>
        <v>#NAME?</v>
      </c>
      <c r="H16" t="e">
        <f ca="1">_xll.BDP("ZD361427 Corp","ID_ISIN")</f>
        <v>#NAME?</v>
      </c>
      <c r="I16">
        <v>1000</v>
      </c>
      <c r="J16" t="e">
        <f ca="1">_xll.BDP("ZD361427 Corp","PX_VOLUME")</f>
        <v>#NAME?</v>
      </c>
      <c r="K16" t="e">
        <f ca="1">_xll.BDP("ZD361427 Corp","CV_COMMON_TICKER")</f>
        <v>#NAME?</v>
      </c>
      <c r="L16">
        <v>1000000000</v>
      </c>
      <c r="M16" t="e">
        <f ca="1">_xll.BDP("ZD361427 Corp","CV_MODEL_DELTA_S")</f>
        <v>#NAME?</v>
      </c>
      <c r="N16" t="e">
        <f ca="1">_xll.BDP("ZD361427 Corp","CV_MODEL_CNVS_PREM")</f>
        <v>#NAME?</v>
      </c>
      <c r="O16" t="e">
        <f ca="1">_xll.BDP("ZD361427 Corp","CV_CNVS_RATIO")</f>
        <v>#NAME?</v>
      </c>
      <c r="P16" t="e">
        <f ca="1">_xll.BDP("ZD361427 Corp","CV_CNVS_PX")</f>
        <v>#NAME?</v>
      </c>
      <c r="Q16" t="e">
        <f ca="1">_xll.BDP("ZD361427 Corp","INITIAL_CONVERSION_PREMIUM")</f>
        <v>#NAME?</v>
      </c>
      <c r="R16" t="e">
        <f ca="1">_xll.BDP("ZD361427 Corp","ISSUE_DT")</f>
        <v>#NAME?</v>
      </c>
      <c r="S16" t="e">
        <f ca="1">_xll.BDP("ZD361427 Corp","CPN")</f>
        <v>#NAME?</v>
      </c>
      <c r="T16" t="e">
        <f ca="1">_xll.BDP("ZD361427 Corp","MATURITY")</f>
        <v>#NAME?</v>
      </c>
      <c r="U16" t="e">
        <f ca="1">_xll.BDP("ZD361427 Corp","BB_COMPOSITE")</f>
        <v>#NAME?</v>
      </c>
      <c r="V16" t="e">
        <f ca="1">_xll.BDP("ZD361427 Corp","MTY_TYP")</f>
        <v>#NAME?</v>
      </c>
      <c r="W16" t="e">
        <f ca="1">_xll.BDP("ZD361427 Corp","CRNCY")</f>
        <v>#NAME?</v>
      </c>
    </row>
    <row r="17" spans="1:23" x14ac:dyDescent="0.3">
      <c r="A17" t="s">
        <v>35</v>
      </c>
      <c r="B17" t="e">
        <f ca="1">_xll.BDP("ZF219224 Corp","TICKER")</f>
        <v>#NAME?</v>
      </c>
      <c r="C17" t="e">
        <f ca="1">_xll.BDP("ZF219224 Corp","DAY_CNT_DES")</f>
        <v>#NAME?</v>
      </c>
      <c r="D17" t="e">
        <f ca="1">_xll.BDP("ZF219224 Corp","FIRST_CPN_DT")</f>
        <v>#NAME?</v>
      </c>
      <c r="E17" t="e">
        <f ca="1">_xll.BDP("ZF219224 Corp","TKT_ACCRUED")</f>
        <v>#NAME?</v>
      </c>
      <c r="F17" t="e">
        <f ca="1">_xll.BDP("ZF219224 Corp","COUPON_FREQUENCY_DESCRIPTION")</f>
        <v>#NAME?</v>
      </c>
      <c r="G17" t="e">
        <f ca="1">_xll.BDP("ZF219224 Corp","ID_CUSIP")</f>
        <v>#NAME?</v>
      </c>
      <c r="H17" t="e">
        <f ca="1">_xll.BDP("ZF219224 Corp","ID_ISIN")</f>
        <v>#NAME?</v>
      </c>
      <c r="I17">
        <v>1000</v>
      </c>
      <c r="J17" t="e">
        <f ca="1">_xll.BDP("ZF219224 Corp","PX_VOLUME")</f>
        <v>#NAME?</v>
      </c>
      <c r="K17" t="e">
        <f ca="1">_xll.BDP("ZF219224 Corp","CV_COMMON_TICKER")</f>
        <v>#NAME?</v>
      </c>
      <c r="L17">
        <v>485000000</v>
      </c>
      <c r="M17" t="e">
        <f ca="1">_xll.BDP("ZF219224 Corp","CV_MODEL_DELTA_S")</f>
        <v>#NAME?</v>
      </c>
      <c r="N17" t="e">
        <f ca="1">_xll.BDP("ZF219224 Corp","CV_MODEL_CNVS_PREM")</f>
        <v>#NAME?</v>
      </c>
      <c r="O17" t="e">
        <f ca="1">_xll.BDP("ZF219224 Corp","CV_CNVS_RATIO")</f>
        <v>#NAME?</v>
      </c>
      <c r="P17" t="e">
        <f ca="1">_xll.BDP("ZF219224 Corp","CV_CNVS_PX")</f>
        <v>#NAME?</v>
      </c>
      <c r="Q17" t="e">
        <f ca="1">_xll.BDP("ZF219224 Corp","INITIAL_CONVERSION_PREMIUM")</f>
        <v>#NAME?</v>
      </c>
      <c r="R17" t="e">
        <f ca="1">_xll.BDP("ZF219224 Corp","ISSUE_DT")</f>
        <v>#NAME?</v>
      </c>
      <c r="S17" t="e">
        <f ca="1">_xll.BDP("ZF219224 Corp","CPN")</f>
        <v>#NAME?</v>
      </c>
      <c r="T17" t="e">
        <f ca="1">_xll.BDP("ZF219224 Corp","MATURITY")</f>
        <v>#NAME?</v>
      </c>
      <c r="U17" t="e">
        <f ca="1">_xll.BDP("ZF219224 Corp","BB_COMPOSITE")</f>
        <v>#NAME?</v>
      </c>
      <c r="V17" t="e">
        <f ca="1">_xll.BDP("ZF219224 Corp","MTY_TYP")</f>
        <v>#NAME?</v>
      </c>
      <c r="W17" t="e">
        <f ca="1">_xll.BDP("ZF219224 Corp","CRNCY")</f>
        <v>#NAME?</v>
      </c>
    </row>
    <row r="18" spans="1:23" x14ac:dyDescent="0.3">
      <c r="A18" t="s">
        <v>36</v>
      </c>
      <c r="B18" t="e">
        <f ca="1">_xll.BDP("ZG521015 Corp","TICKER")</f>
        <v>#NAME?</v>
      </c>
      <c r="C18" t="e">
        <f ca="1">_xll.BDP("ZG521015 Corp","DAY_CNT_DES")</f>
        <v>#NAME?</v>
      </c>
      <c r="D18" t="e">
        <f ca="1">_xll.BDP("ZG521015 Corp","FIRST_CPN_DT")</f>
        <v>#NAME?</v>
      </c>
      <c r="E18" t="e">
        <f ca="1">_xll.BDP("ZG521015 Corp","TKT_ACCRUED")</f>
        <v>#NAME?</v>
      </c>
      <c r="F18" t="e">
        <f ca="1">_xll.BDP("ZG521015 Corp","COUPON_FREQUENCY_DESCRIPTION")</f>
        <v>#NAME?</v>
      </c>
      <c r="G18" t="e">
        <f ca="1">_xll.BDP("ZG521015 Corp","ID_CUSIP")</f>
        <v>#NAME?</v>
      </c>
      <c r="H18" t="e">
        <f ca="1">_xll.BDP("ZG521015 Corp","ID_ISIN")</f>
        <v>#NAME?</v>
      </c>
      <c r="I18">
        <v>1000</v>
      </c>
      <c r="J18" t="e">
        <f ca="1">_xll.BDP("ZG521015 Corp","PX_VOLUME")</f>
        <v>#NAME?</v>
      </c>
      <c r="K18" t="e">
        <f ca="1">_xll.BDP("ZG521015 Corp","CV_COMMON_TICKER")</f>
        <v>#NAME?</v>
      </c>
      <c r="L18">
        <v>1155930000</v>
      </c>
      <c r="M18" t="e">
        <f ca="1">_xll.BDP("ZG521015 Corp","CV_MODEL_DELTA_S")</f>
        <v>#NAME?</v>
      </c>
      <c r="N18" t="e">
        <f ca="1">_xll.BDP("ZG521015 Corp","CV_MODEL_CNVS_PREM")</f>
        <v>#NAME?</v>
      </c>
      <c r="O18" t="e">
        <f ca="1">_xll.BDP("ZG521015 Corp","CV_CNVS_RATIO")</f>
        <v>#NAME?</v>
      </c>
      <c r="P18" t="e">
        <f ca="1">_xll.BDP("ZG521015 Corp","CV_CNVS_PX")</f>
        <v>#NAME?</v>
      </c>
      <c r="Q18" t="e">
        <f ca="1">_xll.BDP("ZG521015 Corp","INITIAL_CONVERSION_PREMIUM")</f>
        <v>#NAME?</v>
      </c>
      <c r="R18" t="e">
        <f ca="1">_xll.BDP("ZG521015 Corp","ISSUE_DT")</f>
        <v>#NAME?</v>
      </c>
      <c r="S18" t="e">
        <f ca="1">_xll.BDP("ZG521015 Corp","CPN")</f>
        <v>#NAME?</v>
      </c>
      <c r="T18" t="e">
        <f ca="1">_xll.BDP("ZG521015 Corp","MATURITY")</f>
        <v>#NAME?</v>
      </c>
      <c r="U18" t="e">
        <f ca="1">_xll.BDP("ZG521015 Corp","BB_COMPOSITE")</f>
        <v>#NAME?</v>
      </c>
      <c r="V18" t="e">
        <f ca="1">_xll.BDP("ZG521015 Corp","MTY_TYP")</f>
        <v>#NAME?</v>
      </c>
      <c r="W18" t="e">
        <f ca="1">_xll.BDP("ZG521015 Corp","CRNCY")</f>
        <v>#NAME?</v>
      </c>
    </row>
    <row r="19" spans="1:23" x14ac:dyDescent="0.3">
      <c r="A19" t="s">
        <v>37</v>
      </c>
      <c r="B19" t="e">
        <f ca="1">_xll.BDP("ZI244286 Corp","TICKER")</f>
        <v>#NAME?</v>
      </c>
      <c r="C19" t="e">
        <f ca="1">_xll.BDP("ZI244286 Corp","DAY_CNT_DES")</f>
        <v>#NAME?</v>
      </c>
      <c r="D19" t="e">
        <f ca="1">_xll.BDP("ZI244286 Corp","FIRST_CPN_DT")</f>
        <v>#NAME?</v>
      </c>
      <c r="E19" t="e">
        <f ca="1">_xll.BDP("ZI244286 Corp","TKT_ACCRUED")</f>
        <v>#NAME?</v>
      </c>
      <c r="F19" t="e">
        <f ca="1">_xll.BDP("ZI244286 Corp","COUPON_FREQUENCY_DESCRIPTION")</f>
        <v>#NAME?</v>
      </c>
      <c r="G19" t="e">
        <f ca="1">_xll.BDP("ZI244286 Corp","ID_CUSIP")</f>
        <v>#NAME?</v>
      </c>
      <c r="H19" t="e">
        <f ca="1">_xll.BDP("ZI244286 Corp","ID_ISIN")</f>
        <v>#NAME?</v>
      </c>
      <c r="I19">
        <v>1000</v>
      </c>
      <c r="J19" t="e">
        <f ca="1">_xll.BDP("ZI244286 Corp","PX_VOLUME")</f>
        <v>#NAME?</v>
      </c>
      <c r="K19" t="e">
        <f ca="1">_xll.BDP("ZI244286 Corp","CV_COMMON_TICKER")</f>
        <v>#NAME?</v>
      </c>
      <c r="L19">
        <v>402500000</v>
      </c>
      <c r="M19" t="e">
        <f ca="1">_xll.BDP("ZI244286 Corp","CV_MODEL_DELTA_S")</f>
        <v>#NAME?</v>
      </c>
      <c r="N19" t="e">
        <f ca="1">_xll.BDP("ZI244286 Corp","CV_MODEL_CNVS_PREM")</f>
        <v>#NAME?</v>
      </c>
      <c r="O19" t="e">
        <f ca="1">_xll.BDP("ZI244286 Corp","CV_CNVS_RATIO")</f>
        <v>#NAME?</v>
      </c>
      <c r="P19" t="e">
        <f ca="1">_xll.BDP("ZI244286 Corp","CV_CNVS_PX")</f>
        <v>#NAME?</v>
      </c>
      <c r="Q19" t="e">
        <f ca="1">_xll.BDP("ZI244286 Corp","INITIAL_CONVERSION_PREMIUM")</f>
        <v>#NAME?</v>
      </c>
      <c r="R19" t="e">
        <f ca="1">_xll.BDP("ZI244286 Corp","ISSUE_DT")</f>
        <v>#NAME?</v>
      </c>
      <c r="S19" t="e">
        <f ca="1">_xll.BDP("ZI244286 Corp","CPN")</f>
        <v>#NAME?</v>
      </c>
      <c r="T19" t="e">
        <f ca="1">_xll.BDP("ZI244286 Corp","MATURITY")</f>
        <v>#NAME?</v>
      </c>
      <c r="U19" t="e">
        <f ca="1">_xll.BDP("ZI244286 Corp","BB_COMPOSITE")</f>
        <v>#NAME?</v>
      </c>
      <c r="V19" t="e">
        <f ca="1">_xll.BDP("ZI244286 Corp","MTY_TYP")</f>
        <v>#NAME?</v>
      </c>
      <c r="W19" t="e">
        <f ca="1">_xll.BDP("ZI244286 Corp","CRNCY")</f>
        <v>#NAME?</v>
      </c>
    </row>
    <row r="20" spans="1:23" x14ac:dyDescent="0.3">
      <c r="A20" t="s">
        <v>38</v>
      </c>
      <c r="B20" t="e">
        <f ca="1">_xll.BDP("ZI817167 Corp","TICKER")</f>
        <v>#NAME?</v>
      </c>
      <c r="C20" t="e">
        <f ca="1">_xll.BDP("ZI817167 Corp","DAY_CNT_DES")</f>
        <v>#NAME?</v>
      </c>
      <c r="D20" t="e">
        <f ca="1">_xll.BDP("ZI817167 Corp","FIRST_CPN_DT")</f>
        <v>#NAME?</v>
      </c>
      <c r="E20" t="e">
        <f ca="1">_xll.BDP("ZI817167 Corp","TKT_ACCRUED")</f>
        <v>#NAME?</v>
      </c>
      <c r="F20" t="e">
        <f ca="1">_xll.BDP("ZI817167 Corp","COUPON_FREQUENCY_DESCRIPTION")</f>
        <v>#NAME?</v>
      </c>
      <c r="G20" t="e">
        <f ca="1">_xll.BDP("ZI817167 Corp","ID_CUSIP")</f>
        <v>#NAME?</v>
      </c>
      <c r="H20" t="e">
        <f ca="1">_xll.BDP("ZI817167 Corp","ID_ISIN")</f>
        <v>#NAME?</v>
      </c>
      <c r="I20">
        <v>1000</v>
      </c>
      <c r="J20" t="e">
        <f ca="1">_xll.BDP("ZI817167 Corp","PX_VOLUME")</f>
        <v>#NAME?</v>
      </c>
      <c r="K20" t="e">
        <f ca="1">_xll.BDP("ZI817167 Corp","CV_COMMON_TICKER")</f>
        <v>#NAME?</v>
      </c>
      <c r="L20">
        <v>345000000</v>
      </c>
      <c r="M20" t="e">
        <f ca="1">_xll.BDP("ZI817167 Corp","CV_MODEL_DELTA_S")</f>
        <v>#NAME?</v>
      </c>
      <c r="N20" t="e">
        <f ca="1">_xll.BDP("ZI817167 Corp","CV_MODEL_CNVS_PREM")</f>
        <v>#NAME?</v>
      </c>
      <c r="O20" t="e">
        <f ca="1">_xll.BDP("ZI817167 Corp","CV_CNVS_RATIO")</f>
        <v>#NAME?</v>
      </c>
      <c r="P20" t="e">
        <f ca="1">_xll.BDP("ZI817167 Corp","CV_CNVS_PX")</f>
        <v>#NAME?</v>
      </c>
      <c r="Q20" t="e">
        <f ca="1">_xll.BDP("ZI817167 Corp","INITIAL_CONVERSION_PREMIUM")</f>
        <v>#NAME?</v>
      </c>
      <c r="R20" t="e">
        <f ca="1">_xll.BDP("ZI817167 Corp","ISSUE_DT")</f>
        <v>#NAME?</v>
      </c>
      <c r="S20" t="e">
        <f ca="1">_xll.BDP("ZI817167 Corp","CPN")</f>
        <v>#NAME?</v>
      </c>
      <c r="T20" t="e">
        <f ca="1">_xll.BDP("ZI817167 Corp","MATURITY")</f>
        <v>#NAME?</v>
      </c>
      <c r="U20" t="e">
        <f ca="1">_xll.BDP("ZI817167 Corp","BB_COMPOSITE")</f>
        <v>#NAME?</v>
      </c>
      <c r="V20" t="e">
        <f ca="1">_xll.BDP("ZI817167 Corp","MTY_TYP")</f>
        <v>#NAME?</v>
      </c>
      <c r="W20" t="e">
        <f ca="1">_xll.BDP("ZI817167 Corp","CRNCY")</f>
        <v>#NAME?</v>
      </c>
    </row>
    <row r="21" spans="1:23" x14ac:dyDescent="0.3">
      <c r="A21" t="s">
        <v>39</v>
      </c>
      <c r="B21" t="e">
        <f ca="1">_xll.BDP("ZK024995 Corp","TICKER")</f>
        <v>#NAME?</v>
      </c>
      <c r="C21" t="e">
        <f ca="1">_xll.BDP("ZK024995 Corp","DAY_CNT_DES")</f>
        <v>#NAME?</v>
      </c>
      <c r="D21" t="e">
        <f ca="1">_xll.BDP("ZK024995 Corp","FIRST_CPN_DT")</f>
        <v>#NAME?</v>
      </c>
      <c r="E21" t="e">
        <f ca="1">_xll.BDP("ZK024995 Corp","TKT_ACCRUED")</f>
        <v>#NAME?</v>
      </c>
      <c r="F21" t="e">
        <f ca="1">_xll.BDP("ZK024995 Corp","COUPON_FREQUENCY_DESCRIPTION")</f>
        <v>#NAME?</v>
      </c>
      <c r="G21" t="e">
        <f ca="1">_xll.BDP("ZK024995 Corp","ID_CUSIP")</f>
        <v>#NAME?</v>
      </c>
      <c r="H21" t="e">
        <f ca="1">_xll.BDP("ZK024995 Corp","ID_ISIN")</f>
        <v>#NAME?</v>
      </c>
      <c r="I21">
        <v>1000</v>
      </c>
      <c r="J21" t="e">
        <f ca="1">_xll.BDP("ZK024995 Corp","PX_VOLUME")</f>
        <v>#NAME?</v>
      </c>
      <c r="K21" t="e">
        <f ca="1">_xll.BDP("ZK024995 Corp","CV_COMMON_TICKER")</f>
        <v>#NAME?</v>
      </c>
      <c r="L21">
        <v>1725000000</v>
      </c>
      <c r="M21" t="e">
        <f ca="1">_xll.BDP("ZK024995 Corp","CV_MODEL_DELTA_S")</f>
        <v>#NAME?</v>
      </c>
      <c r="N21" t="e">
        <f ca="1">_xll.BDP("ZK024995 Corp","CV_MODEL_CNVS_PREM")</f>
        <v>#NAME?</v>
      </c>
      <c r="O21" t="e">
        <f ca="1">_xll.BDP("ZK024995 Corp","CV_CNVS_RATIO")</f>
        <v>#NAME?</v>
      </c>
      <c r="P21" t="e">
        <f ca="1">_xll.BDP("ZK024995 Corp","CV_CNVS_PX")</f>
        <v>#NAME?</v>
      </c>
      <c r="Q21" t="e">
        <f ca="1">_xll.BDP("ZK024995 Corp","INITIAL_CONVERSION_PREMIUM")</f>
        <v>#NAME?</v>
      </c>
      <c r="R21" t="e">
        <f ca="1">_xll.BDP("ZK024995 Corp","ISSUE_DT")</f>
        <v>#NAME?</v>
      </c>
      <c r="S21" t="e">
        <f ca="1">_xll.BDP("ZK024995 Corp","CPN")</f>
        <v>#NAME?</v>
      </c>
      <c r="T21" t="e">
        <f ca="1">_xll.BDP("ZK024995 Corp","MATURITY")</f>
        <v>#NAME?</v>
      </c>
      <c r="U21" t="e">
        <f ca="1">_xll.BDP("ZK024995 Corp","BB_COMPOSITE")</f>
        <v>#NAME?</v>
      </c>
      <c r="V21" t="e">
        <f ca="1">_xll.BDP("ZK024995 Corp","MTY_TYP")</f>
        <v>#NAME?</v>
      </c>
      <c r="W21" t="e">
        <f ca="1">_xll.BDP("ZK024995 Corp","CRNCY")</f>
        <v>#NAME?</v>
      </c>
    </row>
    <row r="22" spans="1:23" x14ac:dyDescent="0.3">
      <c r="A22" t="s">
        <v>40</v>
      </c>
      <c r="B22" t="e">
        <f ca="1">_xll.BDP("ZK935762 Corp","TICKER")</f>
        <v>#NAME?</v>
      </c>
      <c r="C22" t="e">
        <f ca="1">_xll.BDP("ZK935762 Corp","DAY_CNT_DES")</f>
        <v>#NAME?</v>
      </c>
      <c r="D22" t="e">
        <f ca="1">_xll.BDP("ZK935762 Corp","FIRST_CPN_DT")</f>
        <v>#NAME?</v>
      </c>
      <c r="E22" t="e">
        <f ca="1">_xll.BDP("ZK935762 Corp","TKT_ACCRUED")</f>
        <v>#NAME?</v>
      </c>
      <c r="F22" t="e">
        <f ca="1">_xll.BDP("ZK935762 Corp","COUPON_FREQUENCY_DESCRIPTION")</f>
        <v>#NAME?</v>
      </c>
      <c r="G22" t="e">
        <f ca="1">_xll.BDP("ZK935762 Corp","ID_CUSIP")</f>
        <v>#NAME?</v>
      </c>
      <c r="H22" t="e">
        <f ca="1">_xll.BDP("ZK935762 Corp","ID_ISIN")</f>
        <v>#NAME?</v>
      </c>
      <c r="I22">
        <v>1000</v>
      </c>
      <c r="J22" t="e">
        <f ca="1">_xll.BDP("ZK935762 Corp","PX_VOLUME")</f>
        <v>#NAME?</v>
      </c>
      <c r="K22" t="e">
        <f ca="1">_xll.BDP("ZK935762 Corp","CV_COMMON_TICKER")</f>
        <v>#NAME?</v>
      </c>
      <c r="L22">
        <v>862500000</v>
      </c>
      <c r="M22" t="e">
        <f ca="1">_xll.BDP("ZK935762 Corp","CV_MODEL_DELTA_S")</f>
        <v>#NAME?</v>
      </c>
      <c r="N22" t="e">
        <f ca="1">_xll.BDP("ZK935762 Corp","CV_MODEL_CNVS_PREM")</f>
        <v>#NAME?</v>
      </c>
      <c r="O22" t="e">
        <f ca="1">_xll.BDP("ZK935762 Corp","CV_CNVS_RATIO")</f>
        <v>#NAME?</v>
      </c>
      <c r="P22" t="e">
        <f ca="1">_xll.BDP("ZK935762 Corp","CV_CNVS_PX")</f>
        <v>#NAME?</v>
      </c>
      <c r="Q22" t="e">
        <f ca="1">_xll.BDP("ZK935762 Corp","INITIAL_CONVERSION_PREMIUM")</f>
        <v>#NAME?</v>
      </c>
      <c r="R22" t="e">
        <f ca="1">_xll.BDP("ZK935762 Corp","ISSUE_DT")</f>
        <v>#NAME?</v>
      </c>
      <c r="S22" t="e">
        <f ca="1">_xll.BDP("ZK935762 Corp","CPN")</f>
        <v>#NAME?</v>
      </c>
      <c r="T22" t="e">
        <f ca="1">_xll.BDP("ZK935762 Corp","MATURITY")</f>
        <v>#NAME?</v>
      </c>
      <c r="U22" t="e">
        <f ca="1">_xll.BDP("ZK935762 Corp","BB_COMPOSITE")</f>
        <v>#NAME?</v>
      </c>
      <c r="V22" t="e">
        <f ca="1">_xll.BDP("ZK935762 Corp","MTY_TYP")</f>
        <v>#NAME?</v>
      </c>
      <c r="W22" t="e">
        <f ca="1">_xll.BDP("ZK935762 Corp","CRNCY")</f>
        <v>#NAME?</v>
      </c>
    </row>
    <row r="23" spans="1:23" x14ac:dyDescent="0.3">
      <c r="A23" t="s">
        <v>25</v>
      </c>
      <c r="B23" t="e">
        <f ca="1">_xll.BDP("ZL211177 Corp","TICKER")</f>
        <v>#NAME?</v>
      </c>
      <c r="C23" t="e">
        <f ca="1">_xll.BDP("ZL211177 Corp","DAY_CNT_DES")</f>
        <v>#NAME?</v>
      </c>
      <c r="D23" t="e">
        <f ca="1">_xll.BDP("ZL211177 Corp","FIRST_CPN_DT")</f>
        <v>#NAME?</v>
      </c>
      <c r="E23" t="e">
        <f ca="1">_xll.BDP("ZL211177 Corp","TKT_ACCRUED")</f>
        <v>#NAME?</v>
      </c>
      <c r="F23" t="e">
        <f ca="1">_xll.BDP("ZL211177 Corp","COUPON_FREQUENCY_DESCRIPTION")</f>
        <v>#NAME?</v>
      </c>
      <c r="G23" t="e">
        <f ca="1">_xll.BDP("ZL211177 Corp","ID_CUSIP")</f>
        <v>#NAME?</v>
      </c>
      <c r="H23" t="e">
        <f ca="1">_xll.BDP("ZL211177 Corp","ID_ISIN")</f>
        <v>#NAME?</v>
      </c>
      <c r="I23">
        <v>1000</v>
      </c>
      <c r="J23" t="e">
        <f ca="1">_xll.BDP("ZL211177 Corp","PX_VOLUME")</f>
        <v>#NAME?</v>
      </c>
      <c r="K23" t="e">
        <f ca="1">_xll.BDP("ZL211177 Corp","CV_COMMON_TICKER")</f>
        <v>#NAME?</v>
      </c>
      <c r="L23">
        <v>1000000000</v>
      </c>
      <c r="M23" t="e">
        <f ca="1">_xll.BDP("ZL211177 Corp","CV_MODEL_DELTA_S")</f>
        <v>#NAME?</v>
      </c>
      <c r="N23" t="e">
        <f ca="1">_xll.BDP("ZL211177 Corp","CV_MODEL_CNVS_PREM")</f>
        <v>#NAME?</v>
      </c>
      <c r="O23" t="e">
        <f ca="1">_xll.BDP("ZL211177 Corp","CV_CNVS_RATIO")</f>
        <v>#NAME?</v>
      </c>
      <c r="P23" t="e">
        <f ca="1">_xll.BDP("ZL211177 Corp","CV_CNVS_PX")</f>
        <v>#NAME?</v>
      </c>
      <c r="Q23" t="e">
        <f ca="1">_xll.BDP("ZL211177 Corp","INITIAL_CONVERSION_PREMIUM")</f>
        <v>#NAME?</v>
      </c>
      <c r="R23" t="e">
        <f ca="1">_xll.BDP("ZL211177 Corp","ISSUE_DT")</f>
        <v>#NAME?</v>
      </c>
      <c r="S23" t="e">
        <f ca="1">_xll.BDP("ZL211177 Corp","CPN")</f>
        <v>#NAME?</v>
      </c>
      <c r="T23" t="e">
        <f ca="1">_xll.BDP("ZL211177 Corp","MATURITY")</f>
        <v>#NAME?</v>
      </c>
      <c r="U23" t="e">
        <f ca="1">_xll.BDP("ZL211177 Corp","BB_COMPOSITE")</f>
        <v>#NAME?</v>
      </c>
      <c r="V23" t="e">
        <f ca="1">_xll.BDP("ZL211177 Corp","MTY_TYP")</f>
        <v>#NAME?</v>
      </c>
      <c r="W23" t="e">
        <f ca="1">_xll.BDP("ZL211177 Corp","CRNCY")</f>
        <v>#NAME?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tabSelected="1" workbookViewId="0">
      <selection activeCell="D12" sqref="D12"/>
    </sheetView>
  </sheetViews>
  <sheetFormatPr defaultRowHeight="14.4" x14ac:dyDescent="0.3"/>
  <cols>
    <col min="1" max="1" width="36.109375" bestFit="1" customWidth="1"/>
    <col min="2" max="2" width="6.33203125" bestFit="1" customWidth="1"/>
    <col min="3" max="3" width="10" bestFit="1" customWidth="1"/>
    <col min="4" max="4" width="24.44140625" bestFit="1" customWidth="1"/>
    <col min="5" max="5" width="15.6640625" bestFit="1" customWidth="1"/>
    <col min="6" max="6" width="24.44140625" bestFit="1" customWidth="1"/>
    <col min="7" max="7" width="11.44140625" bestFit="1" customWidth="1"/>
    <col min="8" max="8" width="14.88671875" bestFit="1" customWidth="1"/>
    <col min="9" max="9" width="8" bestFit="1" customWidth="1"/>
    <col min="10" max="10" width="24.44140625" bestFit="1" customWidth="1"/>
    <col min="11" max="11" width="11.33203125" bestFit="1" customWidth="1"/>
    <col min="12" max="12" width="11" bestFit="1" customWidth="1"/>
    <col min="13" max="13" width="18.44140625" bestFit="1" customWidth="1"/>
    <col min="14" max="14" width="22" bestFit="1" customWidth="1"/>
    <col min="15" max="15" width="16.109375" bestFit="1" customWidth="1"/>
    <col min="16" max="16" width="19" bestFit="1" customWidth="1"/>
    <col min="17" max="17" width="14.109375" bestFit="1" customWidth="1"/>
    <col min="18" max="18" width="10.6640625" bestFit="1" customWidth="1"/>
    <col min="19" max="19" width="6" bestFit="1" customWidth="1"/>
    <col min="20" max="20" width="10.6640625" bestFit="1" customWidth="1"/>
    <col min="21" max="21" width="14.6640625" bestFit="1" customWidth="1"/>
    <col min="22" max="22" width="13.109375" bestFit="1" customWidth="1"/>
    <col min="23" max="23" width="8.88671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67</v>
      </c>
      <c r="C2" t="s">
        <v>68</v>
      </c>
      <c r="D2" t="s">
        <v>69</v>
      </c>
      <c r="E2">
        <v>0</v>
      </c>
      <c r="F2" t="s">
        <v>69</v>
      </c>
      <c r="G2" t="s">
        <v>70</v>
      </c>
      <c r="H2" t="s">
        <v>71</v>
      </c>
      <c r="I2">
        <v>1000</v>
      </c>
      <c r="J2">
        <v>1000</v>
      </c>
      <c r="K2" t="s">
        <v>67</v>
      </c>
      <c r="L2">
        <v>2300000000</v>
      </c>
      <c r="M2">
        <v>5.3818985200150093</v>
      </c>
      <c r="N2">
        <v>8.1689328489403579E-2</v>
      </c>
      <c r="O2">
        <v>75.372</v>
      </c>
      <c r="P2">
        <v>13.267526402377541</v>
      </c>
      <c r="Q2">
        <v>40</v>
      </c>
      <c r="R2" t="s">
        <v>72</v>
      </c>
      <c r="S2">
        <v>0</v>
      </c>
      <c r="T2" t="s">
        <v>73</v>
      </c>
      <c r="U2" t="s">
        <v>74</v>
      </c>
      <c r="V2" t="s">
        <v>75</v>
      </c>
      <c r="W2" t="s">
        <v>76</v>
      </c>
    </row>
    <row r="3" spans="1:23" x14ac:dyDescent="0.3">
      <c r="A3" t="s">
        <v>24</v>
      </c>
      <c r="B3" t="s">
        <v>77</v>
      </c>
      <c r="C3" t="s">
        <v>68</v>
      </c>
      <c r="D3" t="s">
        <v>78</v>
      </c>
      <c r="E3">
        <v>3229.17</v>
      </c>
      <c r="F3" t="s">
        <v>79</v>
      </c>
      <c r="G3" t="s">
        <v>80</v>
      </c>
      <c r="H3" t="s">
        <v>81</v>
      </c>
      <c r="I3">
        <v>1000</v>
      </c>
      <c r="J3" t="s">
        <v>69</v>
      </c>
      <c r="K3" t="s">
        <v>77</v>
      </c>
      <c r="L3">
        <v>175000000</v>
      </c>
      <c r="M3">
        <v>85.392210166830338</v>
      </c>
      <c r="N3">
        <v>33.032075572286125</v>
      </c>
      <c r="O3">
        <v>42.351800000000004</v>
      </c>
      <c r="P3">
        <v>23.611747316524916</v>
      </c>
      <c r="Q3">
        <v>25</v>
      </c>
      <c r="R3" t="s">
        <v>82</v>
      </c>
      <c r="S3">
        <v>0.75</v>
      </c>
      <c r="T3" t="s">
        <v>83</v>
      </c>
      <c r="U3" t="s">
        <v>84</v>
      </c>
      <c r="V3" t="s">
        <v>75</v>
      </c>
      <c r="W3" t="s">
        <v>76</v>
      </c>
    </row>
    <row r="4" spans="1:23" x14ac:dyDescent="0.3">
      <c r="A4" t="s">
        <v>25</v>
      </c>
      <c r="B4" t="s">
        <v>195</v>
      </c>
      <c r="C4" t="s">
        <v>68</v>
      </c>
      <c r="D4" t="s">
        <v>86</v>
      </c>
      <c r="E4">
        <v>8500</v>
      </c>
      <c r="F4" t="s">
        <v>79</v>
      </c>
      <c r="G4" t="s">
        <v>87</v>
      </c>
      <c r="H4" t="s">
        <v>88</v>
      </c>
      <c r="I4">
        <v>1000</v>
      </c>
      <c r="J4">
        <v>12500</v>
      </c>
      <c r="K4" t="s">
        <v>85</v>
      </c>
      <c r="L4">
        <v>1150000000</v>
      </c>
      <c r="M4">
        <v>54.820120152169402</v>
      </c>
      <c r="N4">
        <v>11.85656141146926</v>
      </c>
      <c r="O4">
        <v>23.441200000000002</v>
      </c>
      <c r="P4">
        <v>42.659932085388114</v>
      </c>
      <c r="Q4">
        <v>20</v>
      </c>
      <c r="R4" t="s">
        <v>89</v>
      </c>
      <c r="S4">
        <v>3</v>
      </c>
      <c r="T4" t="s">
        <v>90</v>
      </c>
      <c r="U4" t="s">
        <v>91</v>
      </c>
      <c r="V4" t="s">
        <v>75</v>
      </c>
      <c r="W4" t="s">
        <v>76</v>
      </c>
    </row>
    <row r="5" spans="1:23" x14ac:dyDescent="0.3">
      <c r="A5" t="s">
        <v>26</v>
      </c>
      <c r="B5" t="s">
        <v>92</v>
      </c>
      <c r="C5" t="s">
        <v>68</v>
      </c>
      <c r="D5" t="s">
        <v>93</v>
      </c>
      <c r="E5">
        <v>8305.56</v>
      </c>
      <c r="F5" t="s">
        <v>79</v>
      </c>
      <c r="G5" t="s">
        <v>94</v>
      </c>
      <c r="H5" t="s">
        <v>95</v>
      </c>
      <c r="I5">
        <v>1000</v>
      </c>
      <c r="J5">
        <v>250</v>
      </c>
      <c r="K5" t="s">
        <v>92</v>
      </c>
      <c r="L5">
        <v>1000000000</v>
      </c>
      <c r="M5">
        <v>45.752160472140808</v>
      </c>
      <c r="N5">
        <v>8.0396725831526741</v>
      </c>
      <c r="O5">
        <v>17.5093</v>
      </c>
      <c r="P5">
        <v>57.112505925422489</v>
      </c>
      <c r="Q5">
        <v>25</v>
      </c>
      <c r="R5" t="s">
        <v>96</v>
      </c>
      <c r="S5">
        <v>3.25</v>
      </c>
      <c r="T5" t="s">
        <v>97</v>
      </c>
      <c r="U5" t="s">
        <v>84</v>
      </c>
      <c r="V5" t="s">
        <v>75</v>
      </c>
      <c r="W5" t="s">
        <v>76</v>
      </c>
    </row>
    <row r="6" spans="1:23" x14ac:dyDescent="0.3">
      <c r="A6" t="s">
        <v>27</v>
      </c>
      <c r="B6" t="s">
        <v>98</v>
      </c>
      <c r="C6" t="s">
        <v>68</v>
      </c>
      <c r="D6" t="s">
        <v>99</v>
      </c>
      <c r="E6">
        <v>8722.2199999999993</v>
      </c>
      <c r="F6" t="s">
        <v>79</v>
      </c>
      <c r="G6" t="s">
        <v>100</v>
      </c>
      <c r="H6" t="s">
        <v>101</v>
      </c>
      <c r="I6">
        <v>1000</v>
      </c>
      <c r="J6">
        <v>10000</v>
      </c>
      <c r="K6" t="s">
        <v>98</v>
      </c>
      <c r="L6">
        <v>1000000000</v>
      </c>
      <c r="M6">
        <v>32.245251603582673</v>
      </c>
      <c r="N6">
        <v>4.0357088772228957</v>
      </c>
      <c r="O6">
        <v>10.818</v>
      </c>
      <c r="P6">
        <v>92.43852837862822</v>
      </c>
      <c r="Q6">
        <v>22.5</v>
      </c>
      <c r="R6" t="s">
        <v>102</v>
      </c>
      <c r="S6">
        <v>2</v>
      </c>
      <c r="T6" t="s">
        <v>103</v>
      </c>
      <c r="U6" t="s">
        <v>84</v>
      </c>
      <c r="V6" t="s">
        <v>75</v>
      </c>
      <c r="W6" t="s">
        <v>76</v>
      </c>
    </row>
    <row r="7" spans="1:23" x14ac:dyDescent="0.3">
      <c r="A7" t="s">
        <v>28</v>
      </c>
      <c r="B7" t="s">
        <v>104</v>
      </c>
      <c r="C7" t="s">
        <v>68</v>
      </c>
      <c r="D7" t="s">
        <v>99</v>
      </c>
      <c r="E7">
        <v>3489.58</v>
      </c>
      <c r="F7" t="s">
        <v>79</v>
      </c>
      <c r="G7" t="s">
        <v>105</v>
      </c>
      <c r="H7" t="s">
        <v>106</v>
      </c>
      <c r="I7">
        <v>1000</v>
      </c>
      <c r="J7">
        <v>7500</v>
      </c>
      <c r="K7" t="s">
        <v>104</v>
      </c>
      <c r="L7">
        <v>1000000000</v>
      </c>
      <c r="M7">
        <v>54.287742894316381</v>
      </c>
      <c r="N7">
        <v>14.12257843190805</v>
      </c>
      <c r="O7">
        <v>7.8718000000000004</v>
      </c>
      <c r="P7">
        <v>127.03574785944764</v>
      </c>
      <c r="Q7">
        <v>30</v>
      </c>
      <c r="R7" t="s">
        <v>107</v>
      </c>
      <c r="S7">
        <v>0.625</v>
      </c>
      <c r="T7" t="s">
        <v>103</v>
      </c>
      <c r="U7" t="s">
        <v>84</v>
      </c>
      <c r="V7" t="s">
        <v>75</v>
      </c>
      <c r="W7" t="s">
        <v>76</v>
      </c>
    </row>
    <row r="8" spans="1:23" x14ac:dyDescent="0.3">
      <c r="A8" t="s">
        <v>29</v>
      </c>
      <c r="B8" t="s">
        <v>197</v>
      </c>
      <c r="C8" t="s">
        <v>68</v>
      </c>
      <c r="D8" t="s">
        <v>109</v>
      </c>
      <c r="E8">
        <v>8906.25</v>
      </c>
      <c r="F8" t="s">
        <v>79</v>
      </c>
      <c r="G8" t="s">
        <v>110</v>
      </c>
      <c r="H8" t="s">
        <v>111</v>
      </c>
      <c r="I8">
        <v>1000</v>
      </c>
      <c r="J8">
        <v>300</v>
      </c>
      <c r="K8" t="s">
        <v>108</v>
      </c>
      <c r="L8">
        <v>900000000</v>
      </c>
      <c r="M8">
        <v>45.007552271156037</v>
      </c>
      <c r="N8">
        <v>6.319083130508715</v>
      </c>
      <c r="O8">
        <v>7.7901000000000016</v>
      </c>
      <c r="P8">
        <v>128.36805689272279</v>
      </c>
      <c r="Q8">
        <v>22.5</v>
      </c>
      <c r="R8" t="s">
        <v>112</v>
      </c>
      <c r="S8">
        <v>3.375</v>
      </c>
      <c r="T8" t="s">
        <v>113</v>
      </c>
      <c r="U8" t="s">
        <v>91</v>
      </c>
      <c r="V8" t="s">
        <v>75</v>
      </c>
      <c r="W8" t="s">
        <v>76</v>
      </c>
    </row>
    <row r="9" spans="1:23" x14ac:dyDescent="0.3">
      <c r="A9" t="s">
        <v>30</v>
      </c>
      <c r="B9" t="s">
        <v>114</v>
      </c>
      <c r="C9" t="s">
        <v>68</v>
      </c>
      <c r="D9" t="s">
        <v>115</v>
      </c>
      <c r="E9">
        <v>5781.25</v>
      </c>
      <c r="F9" t="s">
        <v>79</v>
      </c>
      <c r="G9" t="s">
        <v>116</v>
      </c>
      <c r="H9" t="s">
        <v>117</v>
      </c>
      <c r="I9">
        <v>1000</v>
      </c>
      <c r="J9">
        <v>1050</v>
      </c>
      <c r="K9" t="s">
        <v>114</v>
      </c>
      <c r="L9">
        <v>1150000000</v>
      </c>
      <c r="M9">
        <v>55.585368504571655</v>
      </c>
      <c r="N9">
        <v>16.121126981633584</v>
      </c>
      <c r="O9">
        <v>4.7998000000000003</v>
      </c>
      <c r="P9">
        <v>208.34201425059376</v>
      </c>
      <c r="Q9">
        <v>20</v>
      </c>
      <c r="R9" t="s">
        <v>118</v>
      </c>
      <c r="S9">
        <v>1.875</v>
      </c>
      <c r="T9" t="s">
        <v>119</v>
      </c>
      <c r="U9" t="s">
        <v>84</v>
      </c>
      <c r="V9" t="s">
        <v>75</v>
      </c>
      <c r="W9" t="s">
        <v>76</v>
      </c>
    </row>
    <row r="10" spans="1:23" x14ac:dyDescent="0.3">
      <c r="A10" t="s">
        <v>31</v>
      </c>
      <c r="B10" t="s">
        <v>120</v>
      </c>
      <c r="C10" t="s">
        <v>68</v>
      </c>
      <c r="D10" t="s">
        <v>121</v>
      </c>
      <c r="E10">
        <v>2989.58</v>
      </c>
      <c r="F10" t="s">
        <v>122</v>
      </c>
      <c r="G10" t="s">
        <v>123</v>
      </c>
      <c r="H10" t="s">
        <v>124</v>
      </c>
      <c r="I10">
        <v>1000</v>
      </c>
      <c r="J10">
        <v>16000</v>
      </c>
      <c r="K10" t="s">
        <v>120</v>
      </c>
      <c r="L10">
        <v>230000000</v>
      </c>
      <c r="M10">
        <v>54.581835048172053</v>
      </c>
      <c r="N10">
        <v>12.721369478858799</v>
      </c>
      <c r="O10">
        <v>40.54</v>
      </c>
      <c r="P10">
        <v>24.666995559940801</v>
      </c>
      <c r="Q10">
        <v>12</v>
      </c>
      <c r="R10" t="s">
        <v>125</v>
      </c>
      <c r="S10">
        <v>5.125</v>
      </c>
      <c r="T10" t="s">
        <v>119</v>
      </c>
      <c r="U10" t="s">
        <v>126</v>
      </c>
      <c r="V10" t="s">
        <v>75</v>
      </c>
      <c r="W10" t="s">
        <v>76</v>
      </c>
    </row>
    <row r="11" spans="1:23" x14ac:dyDescent="0.3">
      <c r="A11" t="s">
        <v>29</v>
      </c>
      <c r="B11" t="s">
        <v>198</v>
      </c>
      <c r="C11" t="s">
        <v>68</v>
      </c>
      <c r="D11" t="s">
        <v>127</v>
      </c>
      <c r="E11">
        <v>11545.14</v>
      </c>
      <c r="F11" t="s">
        <v>79</v>
      </c>
      <c r="G11" t="s">
        <v>128</v>
      </c>
      <c r="H11" t="s">
        <v>129</v>
      </c>
      <c r="I11">
        <v>1000</v>
      </c>
      <c r="J11" t="s">
        <v>69</v>
      </c>
      <c r="K11" t="s">
        <v>108</v>
      </c>
      <c r="L11">
        <v>862500000</v>
      </c>
      <c r="M11">
        <v>81.747381576974462</v>
      </c>
      <c r="N11">
        <v>31.997605554612235</v>
      </c>
      <c r="O11">
        <v>10.1243</v>
      </c>
      <c r="P11">
        <v>98.772260798277415</v>
      </c>
      <c r="Q11">
        <v>20</v>
      </c>
      <c r="R11" t="s">
        <v>130</v>
      </c>
      <c r="S11">
        <v>4.375</v>
      </c>
      <c r="T11" t="s">
        <v>131</v>
      </c>
      <c r="U11" t="s">
        <v>91</v>
      </c>
      <c r="V11" t="s">
        <v>75</v>
      </c>
      <c r="W11" t="s">
        <v>76</v>
      </c>
    </row>
    <row r="12" spans="1:23" x14ac:dyDescent="0.3">
      <c r="A12" t="s">
        <v>29</v>
      </c>
      <c r="B12" t="s">
        <v>199</v>
      </c>
      <c r="C12" t="s">
        <v>68</v>
      </c>
      <c r="D12" t="s">
        <v>127</v>
      </c>
      <c r="E12">
        <v>11545.14</v>
      </c>
      <c r="F12" t="s">
        <v>79</v>
      </c>
      <c r="G12" t="s">
        <v>132</v>
      </c>
      <c r="H12" t="s">
        <v>133</v>
      </c>
      <c r="I12">
        <v>1000</v>
      </c>
      <c r="J12">
        <v>4858</v>
      </c>
      <c r="K12" t="s">
        <v>108</v>
      </c>
      <c r="L12">
        <v>862500000</v>
      </c>
      <c r="M12">
        <v>87.218863415895285</v>
      </c>
      <c r="N12">
        <v>25.768654469203955</v>
      </c>
      <c r="O12">
        <v>10.1243</v>
      </c>
      <c r="P12">
        <v>98.772260798277415</v>
      </c>
      <c r="Q12">
        <v>20</v>
      </c>
      <c r="R12" t="s">
        <v>130</v>
      </c>
      <c r="S12">
        <v>4.375</v>
      </c>
      <c r="T12" t="s">
        <v>134</v>
      </c>
      <c r="U12" t="s">
        <v>91</v>
      </c>
      <c r="V12" t="s">
        <v>75</v>
      </c>
      <c r="W12" t="s">
        <v>76</v>
      </c>
    </row>
    <row r="13" spans="1:23" x14ac:dyDescent="0.3">
      <c r="A13" t="s">
        <v>32</v>
      </c>
      <c r="B13" t="s">
        <v>200</v>
      </c>
      <c r="C13" t="s">
        <v>68</v>
      </c>
      <c r="D13" t="s">
        <v>136</v>
      </c>
      <c r="E13">
        <v>20781.25</v>
      </c>
      <c r="F13" t="s">
        <v>79</v>
      </c>
      <c r="G13" t="s">
        <v>137</v>
      </c>
      <c r="H13" t="s">
        <v>138</v>
      </c>
      <c r="I13">
        <v>1000</v>
      </c>
      <c r="J13" t="s">
        <v>69</v>
      </c>
      <c r="K13" t="s">
        <v>135</v>
      </c>
      <c r="L13">
        <v>575000000</v>
      </c>
      <c r="M13">
        <v>2.6515498518028768</v>
      </c>
      <c r="N13">
        <v>6.7447292661199755E-3</v>
      </c>
      <c r="O13">
        <v>15.714600000000001</v>
      </c>
      <c r="P13">
        <v>63.635090934544941</v>
      </c>
      <c r="Q13">
        <v>30</v>
      </c>
      <c r="R13" t="s">
        <v>139</v>
      </c>
      <c r="S13">
        <v>4.375</v>
      </c>
      <c r="T13" t="s">
        <v>140</v>
      </c>
      <c r="U13" t="s">
        <v>84</v>
      </c>
      <c r="V13" t="s">
        <v>75</v>
      </c>
      <c r="W13" t="s">
        <v>76</v>
      </c>
    </row>
    <row r="14" spans="1:23" x14ac:dyDescent="0.3">
      <c r="A14" t="s">
        <v>32</v>
      </c>
      <c r="B14" t="s">
        <v>201</v>
      </c>
      <c r="C14" t="s">
        <v>68</v>
      </c>
      <c r="D14" t="s">
        <v>136</v>
      </c>
      <c r="E14">
        <v>19593.75</v>
      </c>
      <c r="F14" t="s">
        <v>79</v>
      </c>
      <c r="G14" t="s">
        <v>141</v>
      </c>
      <c r="H14" t="s">
        <v>142</v>
      </c>
      <c r="I14">
        <v>1000</v>
      </c>
      <c r="J14">
        <v>3250</v>
      </c>
      <c r="K14" t="s">
        <v>135</v>
      </c>
      <c r="L14">
        <v>575000000</v>
      </c>
      <c r="M14">
        <v>17.287942018072894</v>
      </c>
      <c r="N14">
        <v>1.53195743487164</v>
      </c>
      <c r="O14">
        <v>15.714600000000001</v>
      </c>
      <c r="P14">
        <v>63.635090934544941</v>
      </c>
      <c r="Q14">
        <v>30</v>
      </c>
      <c r="R14" t="s">
        <v>139</v>
      </c>
      <c r="S14">
        <v>4.125</v>
      </c>
      <c r="T14" t="s">
        <v>97</v>
      </c>
      <c r="U14" t="s">
        <v>84</v>
      </c>
      <c r="V14" t="s">
        <v>75</v>
      </c>
      <c r="W14" t="s">
        <v>76</v>
      </c>
    </row>
    <row r="15" spans="1:23" x14ac:dyDescent="0.3">
      <c r="A15" t="s">
        <v>33</v>
      </c>
      <c r="B15" t="s">
        <v>143</v>
      </c>
      <c r="C15" t="s">
        <v>68</v>
      </c>
      <c r="D15" t="s">
        <v>144</v>
      </c>
      <c r="E15">
        <v>5395.83</v>
      </c>
      <c r="F15" t="s">
        <v>79</v>
      </c>
      <c r="G15" t="s">
        <v>145</v>
      </c>
      <c r="H15" t="s">
        <v>146</v>
      </c>
      <c r="I15">
        <v>1000</v>
      </c>
      <c r="J15">
        <v>15050</v>
      </c>
      <c r="K15" t="s">
        <v>143</v>
      </c>
      <c r="L15">
        <v>575000000</v>
      </c>
      <c r="M15">
        <v>25.762156932204849</v>
      </c>
      <c r="N15">
        <v>3.469857716033721</v>
      </c>
      <c r="O15">
        <v>8.6300000000000026</v>
      </c>
      <c r="P15">
        <v>115.87485515643102</v>
      </c>
      <c r="Q15">
        <v>32.5</v>
      </c>
      <c r="R15" t="s">
        <v>147</v>
      </c>
      <c r="S15">
        <v>1.75</v>
      </c>
      <c r="T15" t="s">
        <v>148</v>
      </c>
      <c r="U15" t="s">
        <v>126</v>
      </c>
      <c r="V15" t="s">
        <v>75</v>
      </c>
      <c r="W15" t="s">
        <v>76</v>
      </c>
    </row>
    <row r="16" spans="1:23" x14ac:dyDescent="0.3">
      <c r="A16" t="s">
        <v>34</v>
      </c>
      <c r="B16" t="s">
        <v>149</v>
      </c>
      <c r="C16" t="s">
        <v>68</v>
      </c>
      <c r="D16" t="s">
        <v>150</v>
      </c>
      <c r="E16">
        <v>416.67</v>
      </c>
      <c r="F16" t="s">
        <v>79</v>
      </c>
      <c r="G16" t="s">
        <v>151</v>
      </c>
      <c r="H16" t="s">
        <v>152</v>
      </c>
      <c r="I16">
        <v>1000</v>
      </c>
      <c r="J16">
        <v>21500</v>
      </c>
      <c r="K16" t="s">
        <v>149</v>
      </c>
      <c r="L16">
        <v>1000000000</v>
      </c>
      <c r="M16">
        <v>83.850832142628875</v>
      </c>
      <c r="N16">
        <v>33.398370871059527</v>
      </c>
      <c r="O16">
        <v>14.6927</v>
      </c>
      <c r="P16">
        <v>68.061009889264739</v>
      </c>
      <c r="Q16">
        <v>22.5</v>
      </c>
      <c r="R16" t="s">
        <v>153</v>
      </c>
      <c r="S16">
        <v>3</v>
      </c>
      <c r="T16" t="s">
        <v>154</v>
      </c>
      <c r="U16" t="s">
        <v>91</v>
      </c>
      <c r="V16" t="s">
        <v>75</v>
      </c>
      <c r="W16" t="s">
        <v>76</v>
      </c>
    </row>
    <row r="17" spans="1:23" x14ac:dyDescent="0.3">
      <c r="A17" t="s">
        <v>35</v>
      </c>
      <c r="B17" t="s">
        <v>155</v>
      </c>
      <c r="C17" t="s">
        <v>68</v>
      </c>
      <c r="D17" t="s">
        <v>156</v>
      </c>
      <c r="E17">
        <v>4604.17</v>
      </c>
      <c r="F17" t="s">
        <v>79</v>
      </c>
      <c r="G17" t="s">
        <v>157</v>
      </c>
      <c r="H17" t="s">
        <v>158</v>
      </c>
      <c r="I17">
        <v>1000</v>
      </c>
      <c r="J17" t="s">
        <v>69</v>
      </c>
      <c r="K17" t="s">
        <v>155</v>
      </c>
      <c r="L17">
        <v>485000000</v>
      </c>
      <c r="M17">
        <v>46.984326321749073</v>
      </c>
      <c r="N17">
        <v>8.3411959608416399</v>
      </c>
      <c r="O17">
        <v>8.1436000000000011</v>
      </c>
      <c r="P17">
        <v>122.79581511862074</v>
      </c>
      <c r="Q17">
        <v>20</v>
      </c>
      <c r="R17" t="s">
        <v>159</v>
      </c>
      <c r="S17">
        <v>3.25</v>
      </c>
      <c r="T17" t="s">
        <v>160</v>
      </c>
      <c r="U17" t="s">
        <v>91</v>
      </c>
      <c r="V17" t="s">
        <v>75</v>
      </c>
      <c r="W17" t="s">
        <v>76</v>
      </c>
    </row>
    <row r="18" spans="1:23" x14ac:dyDescent="0.3">
      <c r="A18" t="s">
        <v>36</v>
      </c>
      <c r="B18" t="s">
        <v>161</v>
      </c>
      <c r="C18" t="s">
        <v>68</v>
      </c>
      <c r="D18" t="s">
        <v>162</v>
      </c>
      <c r="E18">
        <v>10125</v>
      </c>
      <c r="F18" t="s">
        <v>79</v>
      </c>
      <c r="G18" t="s">
        <v>163</v>
      </c>
      <c r="H18" t="s">
        <v>164</v>
      </c>
      <c r="I18">
        <v>1000</v>
      </c>
      <c r="J18">
        <v>2500</v>
      </c>
      <c r="K18" t="s">
        <v>161</v>
      </c>
      <c r="L18">
        <v>1155930000</v>
      </c>
      <c r="M18">
        <v>95.612184806891946</v>
      </c>
      <c r="N18">
        <v>93.775971101732864</v>
      </c>
      <c r="O18">
        <v>16.2166</v>
      </c>
      <c r="P18">
        <v>61.66520725676159</v>
      </c>
      <c r="Q18">
        <v>22.5</v>
      </c>
      <c r="R18" t="s">
        <v>165</v>
      </c>
      <c r="S18">
        <v>4.5</v>
      </c>
      <c r="T18" t="s">
        <v>166</v>
      </c>
      <c r="U18" t="s">
        <v>84</v>
      </c>
      <c r="V18" t="s">
        <v>75</v>
      </c>
      <c r="W18" t="s">
        <v>76</v>
      </c>
    </row>
    <row r="19" spans="1:23" x14ac:dyDescent="0.3">
      <c r="A19" t="s">
        <v>37</v>
      </c>
      <c r="B19" t="s">
        <v>167</v>
      </c>
      <c r="C19" t="s">
        <v>68</v>
      </c>
      <c r="D19" t="s">
        <v>168</v>
      </c>
      <c r="E19">
        <v>2187.5</v>
      </c>
      <c r="F19" t="s">
        <v>79</v>
      </c>
      <c r="G19" t="s">
        <v>169</v>
      </c>
      <c r="H19" t="s">
        <v>170</v>
      </c>
      <c r="I19">
        <v>1000</v>
      </c>
      <c r="J19" t="s">
        <v>69</v>
      </c>
      <c r="K19" t="s">
        <v>167</v>
      </c>
      <c r="L19">
        <v>402500000</v>
      </c>
      <c r="M19">
        <v>77.632156869192443</v>
      </c>
      <c r="N19">
        <v>44.697780741153629</v>
      </c>
      <c r="O19">
        <v>37.077100000000002</v>
      </c>
      <c r="P19">
        <v>26.970825657885865</v>
      </c>
      <c r="Q19">
        <v>25</v>
      </c>
      <c r="R19" t="s">
        <v>171</v>
      </c>
      <c r="S19">
        <v>3.75</v>
      </c>
      <c r="T19" t="s">
        <v>172</v>
      </c>
      <c r="U19" t="s">
        <v>126</v>
      </c>
      <c r="V19" t="s">
        <v>75</v>
      </c>
      <c r="W19" t="s">
        <v>76</v>
      </c>
    </row>
    <row r="20" spans="1:23" x14ac:dyDescent="0.3">
      <c r="A20" t="s">
        <v>38</v>
      </c>
      <c r="B20" t="s">
        <v>173</v>
      </c>
      <c r="C20" t="s">
        <v>68</v>
      </c>
      <c r="D20" t="s">
        <v>174</v>
      </c>
      <c r="E20">
        <v>24937.5</v>
      </c>
      <c r="F20" t="s">
        <v>79</v>
      </c>
      <c r="G20" t="s">
        <v>175</v>
      </c>
      <c r="H20" t="s">
        <v>176</v>
      </c>
      <c r="I20">
        <v>1000</v>
      </c>
      <c r="J20" t="s">
        <v>69</v>
      </c>
      <c r="K20" t="s">
        <v>173</v>
      </c>
      <c r="L20">
        <v>345000000</v>
      </c>
      <c r="M20">
        <v>70.850283793731833</v>
      </c>
      <c r="N20">
        <v>31.231251021399636</v>
      </c>
      <c r="O20">
        <v>33.520099999999999</v>
      </c>
      <c r="P20">
        <v>29.832846560720284</v>
      </c>
      <c r="Q20">
        <v>22.5</v>
      </c>
      <c r="R20" t="s">
        <v>177</v>
      </c>
      <c r="S20">
        <v>5.25</v>
      </c>
      <c r="T20" t="s">
        <v>178</v>
      </c>
      <c r="U20" t="s">
        <v>126</v>
      </c>
      <c r="V20" t="s">
        <v>75</v>
      </c>
      <c r="W20" t="s">
        <v>76</v>
      </c>
    </row>
    <row r="21" spans="1:23" x14ac:dyDescent="0.3">
      <c r="A21" t="s">
        <v>39</v>
      </c>
      <c r="B21" t="s">
        <v>179</v>
      </c>
      <c r="C21" t="s">
        <v>68</v>
      </c>
      <c r="D21" t="s">
        <v>180</v>
      </c>
      <c r="E21">
        <v>16156.25</v>
      </c>
      <c r="F21" t="s">
        <v>79</v>
      </c>
      <c r="G21" t="s">
        <v>181</v>
      </c>
      <c r="H21" t="s">
        <v>182</v>
      </c>
      <c r="I21">
        <v>1000</v>
      </c>
      <c r="J21">
        <v>10310</v>
      </c>
      <c r="K21" t="s">
        <v>179</v>
      </c>
      <c r="L21">
        <v>1725000000</v>
      </c>
      <c r="M21">
        <v>97.348571680052558</v>
      </c>
      <c r="N21">
        <v>11.601708760841712</v>
      </c>
      <c r="O21">
        <v>8.444700000000001</v>
      </c>
      <c r="P21">
        <v>118.41746894501875</v>
      </c>
      <c r="Q21">
        <v>25</v>
      </c>
      <c r="R21" t="s">
        <v>183</v>
      </c>
      <c r="S21">
        <v>4.125</v>
      </c>
      <c r="T21" t="s">
        <v>184</v>
      </c>
      <c r="U21" t="s">
        <v>84</v>
      </c>
      <c r="V21" t="s">
        <v>75</v>
      </c>
      <c r="W21" t="s">
        <v>76</v>
      </c>
    </row>
    <row r="22" spans="1:23" x14ac:dyDescent="0.3">
      <c r="A22" t="s">
        <v>40</v>
      </c>
      <c r="B22" t="s">
        <v>185</v>
      </c>
      <c r="C22" t="s">
        <v>68</v>
      </c>
      <c r="D22" t="s">
        <v>186</v>
      </c>
      <c r="E22">
        <v>9895.83</v>
      </c>
      <c r="F22" t="s">
        <v>79</v>
      </c>
      <c r="G22" t="s">
        <v>187</v>
      </c>
      <c r="H22" t="s">
        <v>188</v>
      </c>
      <c r="I22">
        <v>1000</v>
      </c>
      <c r="J22">
        <v>2544</v>
      </c>
      <c r="K22" t="s">
        <v>185</v>
      </c>
      <c r="L22">
        <v>862500000</v>
      </c>
      <c r="M22">
        <v>99.993629024069293</v>
      </c>
      <c r="N22">
        <v>55.13093299405967</v>
      </c>
      <c r="O22">
        <v>18.277799999999999</v>
      </c>
      <c r="P22">
        <v>54.711179682456319</v>
      </c>
      <c r="Q22">
        <v>22.5</v>
      </c>
      <c r="R22" t="s">
        <v>189</v>
      </c>
      <c r="S22">
        <v>3.75</v>
      </c>
      <c r="T22" t="s">
        <v>86</v>
      </c>
      <c r="U22" t="s">
        <v>91</v>
      </c>
      <c r="V22" t="s">
        <v>75</v>
      </c>
      <c r="W22" t="s">
        <v>76</v>
      </c>
    </row>
    <row r="23" spans="1:23" x14ac:dyDescent="0.3">
      <c r="A23" t="s">
        <v>25</v>
      </c>
      <c r="B23" t="s">
        <v>196</v>
      </c>
      <c r="C23" t="s">
        <v>68</v>
      </c>
      <c r="D23" t="s">
        <v>190</v>
      </c>
      <c r="E23">
        <v>13656.25</v>
      </c>
      <c r="F23" t="s">
        <v>79</v>
      </c>
      <c r="G23" t="s">
        <v>191</v>
      </c>
      <c r="H23" t="s">
        <v>192</v>
      </c>
      <c r="I23">
        <v>1000</v>
      </c>
      <c r="J23">
        <v>17500</v>
      </c>
      <c r="K23" t="s">
        <v>85</v>
      </c>
      <c r="L23">
        <v>1000000000</v>
      </c>
      <c r="M23">
        <v>81.88048136796607</v>
      </c>
      <c r="N23">
        <v>28.360312934160437</v>
      </c>
      <c r="O23">
        <v>29.343200000000003</v>
      </c>
      <c r="P23">
        <v>34.079446004525749</v>
      </c>
      <c r="Q23">
        <v>22.5</v>
      </c>
      <c r="R23" t="s">
        <v>193</v>
      </c>
      <c r="S23">
        <v>2.875</v>
      </c>
      <c r="T23" t="s">
        <v>194</v>
      </c>
      <c r="U23" t="s">
        <v>91</v>
      </c>
      <c r="V23" t="s">
        <v>75</v>
      </c>
      <c r="W23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4.4" x14ac:dyDescent="0.3"/>
  <cols>
    <col min="1" max="1" width="11.44140625" customWidth="1"/>
    <col min="2" max="3" width="38" customWidth="1"/>
    <col min="4" max="4" width="76.109375" customWidth="1"/>
  </cols>
  <sheetData>
    <row r="1" spans="1:4" x14ac:dyDescent="0.3">
      <c r="A1" s="1" t="s">
        <v>41</v>
      </c>
      <c r="B1" s="1"/>
      <c r="C1" s="1"/>
      <c r="D1" s="1"/>
    </row>
    <row r="2" spans="1:4" x14ac:dyDescent="0.3">
      <c r="A2" s="5" t="s">
        <v>42</v>
      </c>
      <c r="B2" s="4"/>
      <c r="C2" s="4"/>
      <c r="D2" s="4"/>
    </row>
    <row r="3" spans="1:4" x14ac:dyDescent="0.3">
      <c r="A3" s="5"/>
      <c r="B3" s="4"/>
      <c r="C3" s="4"/>
      <c r="D3" s="4"/>
    </row>
    <row r="4" spans="1:4" x14ac:dyDescent="0.3">
      <c r="A4" s="5" t="s">
        <v>43</v>
      </c>
      <c r="B4" s="4"/>
      <c r="C4" s="4"/>
      <c r="D4" s="4"/>
    </row>
    <row r="5" spans="1:4" x14ac:dyDescent="0.3">
      <c r="A5" s="5" t="s">
        <v>44</v>
      </c>
      <c r="B5" s="4"/>
      <c r="C5" s="4"/>
      <c r="D5" s="4"/>
    </row>
    <row r="6" spans="1:4" x14ac:dyDescent="0.3">
      <c r="A6" s="5"/>
      <c r="B6" s="4"/>
      <c r="C6" s="4"/>
      <c r="D6" s="4"/>
    </row>
    <row r="7" spans="1:4" x14ac:dyDescent="0.3">
      <c r="A7" s="5"/>
      <c r="B7" s="4"/>
      <c r="C7" s="4"/>
      <c r="D7" s="4"/>
    </row>
    <row r="8" spans="1:4" x14ac:dyDescent="0.3">
      <c r="A8" s="5" t="s">
        <v>45</v>
      </c>
      <c r="B8" s="4"/>
      <c r="C8" s="4"/>
      <c r="D8" s="4"/>
    </row>
    <row r="9" spans="1:4" x14ac:dyDescent="0.3">
      <c r="A9" s="5"/>
      <c r="B9" s="4"/>
      <c r="C9" s="4"/>
      <c r="D9" s="4"/>
    </row>
    <row r="10" spans="1:4" x14ac:dyDescent="0.3">
      <c r="A10" s="6" t="s">
        <v>46</v>
      </c>
      <c r="B10" s="4"/>
      <c r="C10" s="4"/>
      <c r="D10" s="4"/>
    </row>
    <row r="11" spans="1:4" x14ac:dyDescent="0.3">
      <c r="A11" s="3" t="s">
        <v>47</v>
      </c>
      <c r="B11" s="4"/>
      <c r="C11" s="4"/>
      <c r="D11" s="4"/>
    </row>
    <row r="12" spans="1:4" x14ac:dyDescent="0.3">
      <c r="A12" s="3" t="s">
        <v>48</v>
      </c>
      <c r="B12" s="4"/>
      <c r="C12" s="4"/>
      <c r="D12" s="4"/>
    </row>
    <row r="13" spans="1:4" x14ac:dyDescent="0.3">
      <c r="A13" s="3" t="s">
        <v>49</v>
      </c>
      <c r="B13" s="4"/>
      <c r="C13" s="4"/>
      <c r="D13" s="4"/>
    </row>
    <row r="14" spans="1:4" x14ac:dyDescent="0.3">
      <c r="A14" s="2" t="s">
        <v>50</v>
      </c>
      <c r="B14" s="2" t="s">
        <v>51</v>
      </c>
      <c r="C14" s="2" t="s">
        <v>52</v>
      </c>
      <c r="D14" s="2" t="s">
        <v>53</v>
      </c>
    </row>
    <row r="15" spans="1:4" x14ac:dyDescent="0.3">
      <c r="A15" s="2" t="s">
        <v>50</v>
      </c>
      <c r="B15" s="2" t="s">
        <v>54</v>
      </c>
      <c r="C15" s="2" t="s">
        <v>55</v>
      </c>
      <c r="D15" s="2" t="s">
        <v>56</v>
      </c>
    </row>
    <row r="16" spans="1:4" x14ac:dyDescent="0.3">
      <c r="A16" s="2" t="s">
        <v>50</v>
      </c>
      <c r="B16" s="2" t="s">
        <v>22</v>
      </c>
      <c r="C16" s="2" t="s">
        <v>52</v>
      </c>
      <c r="D16" s="2" t="s">
        <v>57</v>
      </c>
    </row>
    <row r="17" spans="1:4" x14ac:dyDescent="0.3">
      <c r="A17" s="2" t="s">
        <v>50</v>
      </c>
      <c r="B17" s="2" t="s">
        <v>58</v>
      </c>
      <c r="C17" s="2" t="s">
        <v>52</v>
      </c>
      <c r="D17" s="2" t="s">
        <v>59</v>
      </c>
    </row>
    <row r="18" spans="1:4" x14ac:dyDescent="0.3">
      <c r="A18" s="2" t="s">
        <v>50</v>
      </c>
      <c r="B18" s="2" t="s">
        <v>60</v>
      </c>
      <c r="C18" s="2" t="s">
        <v>61</v>
      </c>
      <c r="D18" s="2" t="s">
        <v>62</v>
      </c>
    </row>
    <row r="19" spans="1:4" x14ac:dyDescent="0.3">
      <c r="A19" s="2" t="s">
        <v>50</v>
      </c>
      <c r="B19" s="2" t="s">
        <v>17</v>
      </c>
      <c r="C19" s="2" t="s">
        <v>63</v>
      </c>
      <c r="D19" s="2" t="s">
        <v>64</v>
      </c>
    </row>
    <row r="20" spans="1:4" x14ac:dyDescent="0.3">
      <c r="A20" s="2" t="s">
        <v>50</v>
      </c>
      <c r="B20" s="2" t="s">
        <v>19</v>
      </c>
      <c r="C20" s="2" t="s">
        <v>65</v>
      </c>
      <c r="D20" s="2" t="s">
        <v>66</v>
      </c>
    </row>
  </sheetData>
  <mergeCells count="12">
    <mergeCell ref="A2:D2"/>
    <mergeCell ref="A3:D3"/>
    <mergeCell ref="A4:D4"/>
    <mergeCell ref="A5:D5"/>
    <mergeCell ref="A6:D6"/>
    <mergeCell ref="A12:D12"/>
    <mergeCell ref="A13:D13"/>
    <mergeCell ref="A7:D7"/>
    <mergeCell ref="A8:D8"/>
    <mergeCell ref="A9:D9"/>
    <mergeCell ref="A10:D10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Bonds</vt:lpstr>
      <vt:lpstr>Sheet1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sarda</cp:lastModifiedBy>
  <dcterms:created xsi:type="dcterms:W3CDTF">2013-04-03T15:49:21Z</dcterms:created>
  <dcterms:modified xsi:type="dcterms:W3CDTF">2026-03-10T00:02:01Z</dcterms:modified>
</cp:coreProperties>
</file>